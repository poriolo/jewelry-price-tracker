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odelo_Dívi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sz val="10"/>
    </font>
    <font>
      <i val="1"/>
      <color rgb="00808080"/>
      <sz val="8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0" fontId="3" fillId="0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165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2" customWidth="1" min="2" max="2"/>
  </cols>
  <sheetData>
    <row r="1">
      <c r="B1" s="1" t="inlineStr">
        <is>
          <t>SMART FIT (SMFT3) — Fluxo de Dívida (módulo de valuation)</t>
        </is>
      </c>
    </row>
    <row r="2">
      <c r="B2" s="2" t="inlineStr"/>
    </row>
    <row r="3">
      <c r="B3" s="3" t="inlineStr">
        <is>
          <t>O QUE É</t>
        </is>
      </c>
    </row>
    <row r="4">
      <c r="B4" s="4" t="inlineStr">
        <is>
          <t>Cronograma de dívida bruta, despesa de juros e dívida líquida, montado como motor</t>
        </is>
      </c>
    </row>
    <row r="5">
      <c r="B5" s="4" t="inlineStr">
        <is>
          <t>independente para acoplar ao seu valuation. Trimestral (aberto até 4T27) e anual até 2037.</t>
        </is>
      </c>
    </row>
    <row r="6">
      <c r="B6" s="2" t="inlineStr"/>
    </row>
    <row r="7">
      <c r="B7" s="3" t="inlineStr">
        <is>
          <t>COMO ACOPLAR (aba 'Modelo_Dívida')</t>
        </is>
      </c>
    </row>
    <row r="8">
      <c r="B8" s="4" t="inlineStr">
        <is>
          <t>1. Amarelo = premissa/input (CDI, spreads, amortizações, captações, dividendos e o FCF livre).</t>
        </is>
      </c>
    </row>
    <row r="9">
      <c r="B9" s="4" t="inlineStr">
        <is>
          <t>2. Ligue a linha 'FCF livre pré-financiamento (LINK)' ao FCF do seu modelo → caixa e dívida</t>
        </is>
      </c>
    </row>
    <row r="10">
      <c r="B10" s="4" t="inlineStr">
        <is>
          <t xml:space="preserve">   líquida rodam sozinhos.</t>
        </is>
      </c>
    </row>
    <row r="11">
      <c r="B11" s="4" t="inlineStr">
        <is>
          <t>3. Referencie no seu valuation as linhas VERDES da seção de Interface.</t>
        </is>
      </c>
    </row>
    <row r="12">
      <c r="B12" s="4" t="inlineStr">
        <is>
          <t>4. Azul = dado real reportado (âncora), não recalcula.</t>
        </is>
      </c>
    </row>
    <row r="13">
      <c r="B13" s="2" t="inlineStr"/>
    </row>
    <row r="14">
      <c r="B14" s="3" t="inlineStr">
        <is>
          <t>PREMISSAS-CHAVE (reais, pesquisadas — 1T26)</t>
        </is>
      </c>
    </row>
    <row r="15">
      <c r="B15" s="4" t="inlineStr">
        <is>
          <t>• Dívida líquida R$ 4,2 bi (estável vs 4T25) | caixa+títulos R$ 1,7 bi →</t>
        </is>
      </c>
    </row>
    <row r="16">
      <c r="B16" s="4" t="inlineStr">
        <is>
          <t xml:space="preserve">  dívida bruta financeira ≈ R$ 5,9 bi. Alavancagem 1,1x EBITDA (vs 1,2x no 4T25).</t>
        </is>
      </c>
    </row>
    <row r="17">
      <c r="B17" s="4" t="inlineStr">
        <is>
          <t>• Custo médio da dívida: CDI + 2,09% a.a.</t>
        </is>
      </c>
    </row>
    <row r="18">
      <c r="B18" s="4" t="inlineStr">
        <is>
          <t>• Dívidas vincendas até fim de 2026: R$ 1,2 bi (caixa cobre 1,4x).</t>
        </is>
      </c>
    </row>
    <row r="19">
      <c r="B19" s="4" t="inlineStr">
        <is>
          <t>• Emissões recentes: 13ª (out/25, ≥R$ 1 bi, séries de 5/7/10 anos) e 14ª (mar/26, R$ 1,32 bi).</t>
        </is>
      </c>
    </row>
    <row r="20">
      <c r="B20" s="4" t="inlineStr">
        <is>
          <t>• EBITDA 1T26 R$ 672 mi; geração de caixa operacional R$ 635 mi (95% do EBITDA).</t>
        </is>
      </c>
    </row>
    <row r="21">
      <c r="B21" s="2" t="inlineStr"/>
    </row>
    <row r="22">
      <c r="B22" s="3" t="inlineStr">
        <is>
          <t>CRONOGRAMA DE AMORTIZAÇÃO</t>
        </is>
      </c>
    </row>
    <row r="23">
      <c r="B23" s="4" t="inlineStr">
        <is>
          <t>• 2026: R$ 1,2 bi vencendo — FIRME (release 1T26).</t>
        </is>
      </c>
    </row>
    <row r="24">
      <c r="B24" s="4" t="inlineStr">
        <is>
          <t>• Anos de vencimento reais: SMFT16 (12/2028), SMFT19 (04/2029), 13ª emissão</t>
        </is>
      </c>
    </row>
    <row r="25">
      <c r="B25" s="4" t="inlineStr">
        <is>
          <t xml:space="preserve">  (2030/2032/2035, séries de 5/7/10 anos), 14ª emissão (~2031/2033).</t>
        </is>
      </c>
    </row>
    <row r="26">
      <c r="B26" s="4" t="inlineStr">
        <is>
          <t>• Montantes por ano RECONSTRUÍDOS p/ fechar a dívida bruta (não achei o gráfico</t>
        </is>
      </c>
    </row>
    <row r="27">
      <c r="B27" s="4" t="inlineStr">
        <is>
          <t xml:space="preserve">  de amortização do release — bloqueado). Edite as células amarelas com os valores reais.</t>
        </is>
      </c>
    </row>
    <row r="28">
      <c r="B28" s="4" t="inlineStr">
        <is>
          <t>• Driver 'Refinanciamento (% da amort.)' = 100% no default: dívida rolada, bruta estável</t>
        </is>
      </c>
    </row>
    <row r="29">
      <c r="B29" s="4" t="inlineStr">
        <is>
          <t xml:space="preserve">  e a escada mostra só o muro de vencimentos. Baixe p/ modelar desalavancagem.</t>
        </is>
      </c>
    </row>
    <row r="30">
      <c r="B30" s="2" t="inlineStr"/>
    </row>
    <row r="31">
      <c r="B31" s="3" t="inlineStr">
        <is>
          <t>PREMISSAS ESTIMADAS</t>
        </is>
      </c>
    </row>
    <row r="32">
      <c r="B32" s="4" t="inlineStr">
        <is>
          <t>• Dívida líquida financeira ampliada (c/ aquisições a pagar + antecipação de recebíveis)</t>
        </is>
      </c>
    </row>
    <row r="33">
      <c r="B33" s="4" t="inlineStr">
        <is>
          <t xml:space="preserve">  era R$ 5,6 bi no 1T26 — não incluída aqui (só dívida financeira).</t>
        </is>
      </c>
    </row>
    <row r="34">
      <c r="B34" s="4" t="inlineStr">
        <is>
          <t>• Não inclui passivo de arrendamento (IFRS 16), relevante p/ o setor.</t>
        </is>
      </c>
    </row>
    <row r="35">
      <c r="B35" s="2" t="inlineStr"/>
    </row>
    <row r="36">
      <c r="B36" s="3" t="inlineStr">
        <is>
          <t>FONTES</t>
        </is>
      </c>
    </row>
    <row r="37">
      <c r="B37" s="5" t="inlineStr">
        <is>
          <t>• Release/webinar 1T26 (Nord / Empiricus / XP / Seu Dinheiro); emissões 13ª e 14ª</t>
        </is>
      </c>
    </row>
    <row r="38">
      <c r="B38" s="5" t="inlineStr">
        <is>
          <t xml:space="preserve">  (Investidor10 / CNN Brasil / ADVFN); SmartFit RI — Debt Issuance.</t>
        </is>
      </c>
    </row>
    <row r="39">
      <c r="B39" s="2" t="inlineStr"/>
    </row>
    <row r="40">
      <c r="B40" s="5" t="inlineStr">
        <is>
          <t>Gerado por build_debt_model.py — reexecute p/ regenerar. R$ milhões salvo indicado.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</cols>
  <sheetData>
    <row r="1">
      <c r="A1" s="6" t="inlineStr">
        <is>
          <t>SMART FIT (SMFT3) — Fluxo de Dívida (módulo de valuation)</t>
        </is>
      </c>
    </row>
    <row r="2">
      <c r="A2" s="7" t="inlineStr">
        <is>
          <t>R$ milhões  •  Trimestral (aberto até 4T27) e anual até 2037  •  amarelo=input, azul=real, verde=interface</t>
        </is>
      </c>
    </row>
    <row r="4">
      <c r="A4" s="8" t="inlineStr">
        <is>
          <t>Período</t>
        </is>
      </c>
      <c r="B4" s="8" t="inlineStr">
        <is>
          <t>1T26
(Real)</t>
        </is>
      </c>
      <c r="C4" s="8" t="inlineStr">
        <is>
          <t>2T26E</t>
        </is>
      </c>
      <c r="D4" s="8" t="inlineStr">
        <is>
          <t>3T26E</t>
        </is>
      </c>
      <c r="E4" s="8" t="inlineStr">
        <is>
          <t>4T26E</t>
        </is>
      </c>
      <c r="F4" s="8" t="inlineStr">
        <is>
          <t>1T27E</t>
        </is>
      </c>
      <c r="G4" s="8" t="inlineStr">
        <is>
          <t>2T27E</t>
        </is>
      </c>
      <c r="H4" s="8" t="inlineStr">
        <is>
          <t>3T27E</t>
        </is>
      </c>
      <c r="I4" s="8" t="inlineStr">
        <is>
          <t>4T27E</t>
        </is>
      </c>
      <c r="J4" s="8" t="inlineStr">
        <is>
          <t>2028E</t>
        </is>
      </c>
      <c r="K4" s="8" t="inlineStr">
        <is>
          <t>2029E</t>
        </is>
      </c>
      <c r="L4" s="8" t="inlineStr">
        <is>
          <t>2030E</t>
        </is>
      </c>
      <c r="M4" s="8" t="inlineStr">
        <is>
          <t>2031E</t>
        </is>
      </c>
      <c r="N4" s="8" t="inlineStr">
        <is>
          <t>2032E</t>
        </is>
      </c>
      <c r="O4" s="8" t="inlineStr">
        <is>
          <t>2033E</t>
        </is>
      </c>
      <c r="P4" s="8" t="inlineStr">
        <is>
          <t>2034E</t>
        </is>
      </c>
      <c r="Q4" s="8" t="inlineStr">
        <is>
          <t>2035E</t>
        </is>
      </c>
      <c r="R4" s="8" t="inlineStr">
        <is>
          <t>2036E</t>
        </is>
      </c>
      <c r="S4" s="8" t="inlineStr">
        <is>
          <t>2037E</t>
        </is>
      </c>
    </row>
    <row r="5">
      <c r="A5" s="5" t="inlineStr">
        <is>
          <t>Fator do período (fração de ano)</t>
        </is>
      </c>
      <c r="B5" s="9" t="n"/>
      <c r="C5" s="9" t="n">
        <v>0.25</v>
      </c>
      <c r="D5" s="9" t="n">
        <v>0.25</v>
      </c>
      <c r="E5" s="9" t="n">
        <v>0.25</v>
      </c>
      <c r="F5" s="9" t="n">
        <v>0.25</v>
      </c>
      <c r="G5" s="9" t="n">
        <v>0.25</v>
      </c>
      <c r="H5" s="9" t="n">
        <v>0.25</v>
      </c>
      <c r="I5" s="9" t="n">
        <v>0.25</v>
      </c>
      <c r="J5" s="9" t="n">
        <v>1</v>
      </c>
      <c r="K5" s="9" t="n">
        <v>1</v>
      </c>
      <c r="L5" s="9" t="n">
        <v>1</v>
      </c>
      <c r="M5" s="9" t="n">
        <v>1</v>
      </c>
      <c r="N5" s="9" t="n">
        <v>1</v>
      </c>
      <c r="O5" s="9" t="n">
        <v>1</v>
      </c>
      <c r="P5" s="9" t="n">
        <v>1</v>
      </c>
      <c r="Q5" s="9" t="n">
        <v>1</v>
      </c>
      <c r="R5" s="9" t="n">
        <v>1</v>
      </c>
      <c r="S5" s="9" t="n">
        <v>1</v>
      </c>
    </row>
    <row r="7">
      <c r="A7" s="10" t="inlineStr">
        <is>
          <t>1. PREMISSAS (edite as células amarelas)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>
      <c r="A8" s="4" t="inlineStr">
        <is>
          <t>CDI (% a.a.)</t>
        </is>
      </c>
      <c r="B8" s="12" t="n"/>
      <c r="C8" s="13" t="n">
        <v>0.149</v>
      </c>
      <c r="D8" s="13" t="n">
        <v>0.1475</v>
      </c>
      <c r="E8" s="13" t="n">
        <v>0.145</v>
      </c>
      <c r="F8" s="13" t="n">
        <v>0.14</v>
      </c>
      <c r="G8" s="13" t="n">
        <v>0.135</v>
      </c>
      <c r="H8" s="13" t="n">
        <v>0.13</v>
      </c>
      <c r="I8" s="13" t="n">
        <v>0.125</v>
      </c>
      <c r="J8" s="13" t="n">
        <v>0.11</v>
      </c>
      <c r="K8" s="13" t="n">
        <v>0.105</v>
      </c>
      <c r="L8" s="13" t="n">
        <v>0.1</v>
      </c>
      <c r="M8" s="13" t="n">
        <v>0.0975</v>
      </c>
      <c r="N8" s="13" t="n">
        <v>0.095</v>
      </c>
      <c r="O8" s="13" t="n">
        <v>0.095</v>
      </c>
      <c r="P8" s="13" t="n">
        <v>0.095</v>
      </c>
      <c r="Q8" s="13" t="n">
        <v>0.095</v>
      </c>
      <c r="R8" s="13" t="n">
        <v>0.095</v>
      </c>
      <c r="S8" s="13" t="n">
        <v>0.095</v>
      </c>
    </row>
    <row r="9">
      <c r="A9" s="4" t="inlineStr">
        <is>
          <t>Spread Dívida financeira (a.a.)</t>
        </is>
      </c>
      <c r="B9" s="13" t="n">
        <v>0.0209</v>
      </c>
    </row>
    <row r="10">
      <c r="A10" s="4" t="inlineStr">
        <is>
          <t>Refinanciamento Dívida financeira (% da amort.)</t>
        </is>
      </c>
      <c r="B10" s="13" t="n">
        <v>1</v>
      </c>
    </row>
    <row r="11">
      <c r="A11" s="4" t="inlineStr">
        <is>
          <t>Alíquota IR/CSLL</t>
        </is>
      </c>
      <c r="B11" s="13" t="n">
        <v>0.34</v>
      </c>
    </row>
    <row r="13">
      <c r="A13" s="10" t="inlineStr">
        <is>
          <t>2. DÍVIDA FINANCEIRA  (CDI + 2,09% • cronograma de vencimentos • refi editável)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</row>
    <row r="14">
      <c r="A14" s="4" t="inlineStr">
        <is>
          <t>Saldo inicial</t>
        </is>
      </c>
      <c r="C14" s="14">
        <f>B17</f>
        <v/>
      </c>
      <c r="D14" s="14">
        <f>C17</f>
        <v/>
      </c>
      <c r="E14" s="14">
        <f>D17</f>
        <v/>
      </c>
      <c r="F14" s="14">
        <f>E17</f>
        <v/>
      </c>
      <c r="G14" s="14">
        <f>F17</f>
        <v/>
      </c>
      <c r="H14" s="14">
        <f>G17</f>
        <v/>
      </c>
      <c r="I14" s="14">
        <f>H17</f>
        <v/>
      </c>
      <c r="J14" s="14">
        <f>I17</f>
        <v/>
      </c>
      <c r="K14" s="14">
        <f>J17</f>
        <v/>
      </c>
      <c r="L14" s="14">
        <f>K17</f>
        <v/>
      </c>
      <c r="M14" s="14">
        <f>L17</f>
        <v/>
      </c>
      <c r="N14" s="14">
        <f>M17</f>
        <v/>
      </c>
      <c r="O14" s="14">
        <f>N17</f>
        <v/>
      </c>
      <c r="P14" s="14">
        <f>O17</f>
        <v/>
      </c>
      <c r="Q14" s="14">
        <f>P17</f>
        <v/>
      </c>
      <c r="R14" s="14">
        <f>Q17</f>
        <v/>
      </c>
      <c r="S14" s="14">
        <f>R17</f>
        <v/>
      </c>
    </row>
    <row r="15">
      <c r="A15" s="4" t="inlineStr">
        <is>
          <t>(+) Captações</t>
        </is>
      </c>
      <c r="C15" s="15">
        <f>C16*$B$10</f>
        <v/>
      </c>
      <c r="D15" s="15">
        <f>D16*$B$10</f>
        <v/>
      </c>
      <c r="E15" s="15">
        <f>E16*$B$10</f>
        <v/>
      </c>
      <c r="F15" s="15">
        <f>F16*$B$10</f>
        <v/>
      </c>
      <c r="G15" s="15">
        <f>G16*$B$10</f>
        <v/>
      </c>
      <c r="H15" s="15">
        <f>H16*$B$10</f>
        <v/>
      </c>
      <c r="I15" s="15">
        <f>I16*$B$10</f>
        <v/>
      </c>
      <c r="J15" s="15">
        <f>J16*$B$10</f>
        <v/>
      </c>
      <c r="K15" s="15">
        <f>K16*$B$10</f>
        <v/>
      </c>
      <c r="L15" s="15">
        <f>L16*$B$10</f>
        <v/>
      </c>
      <c r="M15" s="15">
        <f>M16*$B$10</f>
        <v/>
      </c>
      <c r="N15" s="15">
        <f>N16*$B$10</f>
        <v/>
      </c>
      <c r="O15" s="15">
        <f>O16*$B$10</f>
        <v/>
      </c>
      <c r="P15" s="15">
        <f>P16*$B$10</f>
        <v/>
      </c>
      <c r="Q15" s="15">
        <f>Q16*$B$10</f>
        <v/>
      </c>
      <c r="R15" s="15">
        <f>R16*$B$10</f>
        <v/>
      </c>
      <c r="S15" s="15">
        <f>S16*$B$10</f>
        <v/>
      </c>
    </row>
    <row r="16">
      <c r="A16" s="4" t="inlineStr">
        <is>
          <t>(–) Amortizações</t>
        </is>
      </c>
      <c r="C16" s="15" t="n">
        <v>0</v>
      </c>
      <c r="D16" s="15" t="n">
        <v>0</v>
      </c>
      <c r="E16" s="15" t="n">
        <v>1200</v>
      </c>
      <c r="F16" s="15" t="n">
        <v>0</v>
      </c>
      <c r="G16" s="15" t="n">
        <v>0</v>
      </c>
      <c r="H16" s="15" t="n">
        <v>0</v>
      </c>
      <c r="I16" s="15" t="n">
        <v>300</v>
      </c>
      <c r="J16" s="15" t="n">
        <v>700</v>
      </c>
      <c r="K16" s="15" t="n">
        <v>800</v>
      </c>
      <c r="L16" s="15" t="n">
        <v>650</v>
      </c>
      <c r="M16" s="15" t="n">
        <v>600</v>
      </c>
      <c r="N16" s="15" t="n">
        <v>550</v>
      </c>
      <c r="O16" s="15" t="n">
        <v>400</v>
      </c>
      <c r="P16" s="15" t="n">
        <v>300</v>
      </c>
      <c r="Q16" s="15" t="n">
        <v>400</v>
      </c>
      <c r="R16" s="15" t="n">
        <v>0</v>
      </c>
      <c r="S16" s="15" t="n">
        <v>0</v>
      </c>
    </row>
    <row r="17">
      <c r="A17" s="3">
        <f> Saldo final</f>
        <v/>
      </c>
      <c r="B17" s="16" t="n">
        <v>5900</v>
      </c>
      <c r="C17" s="17">
        <f>C14+C15-C16</f>
        <v/>
      </c>
      <c r="D17" s="17">
        <f>D14+D15-D16</f>
        <v/>
      </c>
      <c r="E17" s="17">
        <f>E14+E15-E16</f>
        <v/>
      </c>
      <c r="F17" s="17">
        <f>F14+F15-F16</f>
        <v/>
      </c>
      <c r="G17" s="17">
        <f>G14+G15-G16</f>
        <v/>
      </c>
      <c r="H17" s="17">
        <f>H14+H15-H16</f>
        <v/>
      </c>
      <c r="I17" s="17">
        <f>I14+I15-I16</f>
        <v/>
      </c>
      <c r="J17" s="17">
        <f>J14+J15-J16</f>
        <v/>
      </c>
      <c r="K17" s="17">
        <f>K14+K15-K16</f>
        <v/>
      </c>
      <c r="L17" s="17">
        <f>L14+L15-L16</f>
        <v/>
      </c>
      <c r="M17" s="17">
        <f>M14+M15-M16</f>
        <v/>
      </c>
      <c r="N17" s="17">
        <f>N14+N15-N16</f>
        <v/>
      </c>
      <c r="O17" s="17">
        <f>O14+O15-O16</f>
        <v/>
      </c>
      <c r="P17" s="17">
        <f>P14+P15-P16</f>
        <v/>
      </c>
      <c r="Q17" s="17">
        <f>Q14+Q15-Q16</f>
        <v/>
      </c>
      <c r="R17" s="17">
        <f>R14+R15-R16</f>
        <v/>
      </c>
      <c r="S17" s="17">
        <f>S14+S15-S16</f>
        <v/>
      </c>
    </row>
    <row r="18">
      <c r="A18" s="5" t="inlineStr">
        <is>
          <t>Saldo médio</t>
        </is>
      </c>
      <c r="C18" s="18">
        <f>(C14+C17)/2</f>
        <v/>
      </c>
      <c r="D18" s="18">
        <f>(D14+D17)/2</f>
        <v/>
      </c>
      <c r="E18" s="18">
        <f>(E14+E17)/2</f>
        <v/>
      </c>
      <c r="F18" s="18">
        <f>(F14+F17)/2</f>
        <v/>
      </c>
      <c r="G18" s="18">
        <f>(G14+G17)/2</f>
        <v/>
      </c>
      <c r="H18" s="18">
        <f>(H14+H17)/2</f>
        <v/>
      </c>
      <c r="I18" s="18">
        <f>(I14+I17)/2</f>
        <v/>
      </c>
      <c r="J18" s="18">
        <f>(J14+J17)/2</f>
        <v/>
      </c>
      <c r="K18" s="18">
        <f>(K14+K17)/2</f>
        <v/>
      </c>
      <c r="L18" s="18">
        <f>(L14+L17)/2</f>
        <v/>
      </c>
      <c r="M18" s="18">
        <f>(M14+M17)/2</f>
        <v/>
      </c>
      <c r="N18" s="18">
        <f>(N14+N17)/2</f>
        <v/>
      </c>
      <c r="O18" s="18">
        <f>(O14+O17)/2</f>
        <v/>
      </c>
      <c r="P18" s="18">
        <f>(P14+P17)/2</f>
        <v/>
      </c>
      <c r="Q18" s="18">
        <f>(Q14+Q17)/2</f>
        <v/>
      </c>
      <c r="R18" s="18">
        <f>(R14+R17)/2</f>
        <v/>
      </c>
      <c r="S18" s="18">
        <f>(S14+S17)/2</f>
        <v/>
      </c>
    </row>
    <row r="19">
      <c r="A19" s="4" t="inlineStr">
        <is>
          <t>Despesa de juros</t>
        </is>
      </c>
      <c r="C19" s="14">
        <f>C18*(C8+$B$9)*C5</f>
        <v/>
      </c>
      <c r="D19" s="14">
        <f>D18*(D8+$B$9)*D5</f>
        <v/>
      </c>
      <c r="E19" s="14">
        <f>E18*(E8+$B$9)*E5</f>
        <v/>
      </c>
      <c r="F19" s="14">
        <f>F18*(F8+$B$9)*F5</f>
        <v/>
      </c>
      <c r="G19" s="14">
        <f>G18*(G8+$B$9)*G5</f>
        <v/>
      </c>
      <c r="H19" s="14">
        <f>H18*(H8+$B$9)*H5</f>
        <v/>
      </c>
      <c r="I19" s="14">
        <f>I18*(I8+$B$9)*I5</f>
        <v/>
      </c>
      <c r="J19" s="14">
        <f>J18*(J8+$B$9)*J5</f>
        <v/>
      </c>
      <c r="K19" s="14">
        <f>K18*(K8+$B$9)*K5</f>
        <v/>
      </c>
      <c r="L19" s="14">
        <f>L18*(L8+$B$9)*L5</f>
        <v/>
      </c>
      <c r="M19" s="14">
        <f>M18*(M8+$B$9)*M5</f>
        <v/>
      </c>
      <c r="N19" s="14">
        <f>N18*(N8+$B$9)*N5</f>
        <v/>
      </c>
      <c r="O19" s="14">
        <f>O18*(O8+$B$9)*O5</f>
        <v/>
      </c>
      <c r="P19" s="14">
        <f>P18*(P8+$B$9)*P5</f>
        <v/>
      </c>
      <c r="Q19" s="14">
        <f>Q18*(Q8+$B$9)*Q5</f>
        <v/>
      </c>
      <c r="R19" s="14">
        <f>R18*(R8+$B$9)*R5</f>
        <v/>
      </c>
      <c r="S19" s="14">
        <f>S18*(S8+$B$9)*S5</f>
        <v/>
      </c>
    </row>
    <row r="21">
      <c r="A21" s="10" t="inlineStr">
        <is>
          <t>3. DÍVIDA CONSOLIDADA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</row>
    <row r="22">
      <c r="A22" s="3" t="inlineStr">
        <is>
          <t>Dívida bruta (fim do período)</t>
        </is>
      </c>
      <c r="B22" s="16">
        <f>B17</f>
        <v/>
      </c>
      <c r="C22" s="17">
        <f>C17</f>
        <v/>
      </c>
      <c r="D22" s="17">
        <f>D17</f>
        <v/>
      </c>
      <c r="E22" s="17">
        <f>E17</f>
        <v/>
      </c>
      <c r="F22" s="17">
        <f>F17</f>
        <v/>
      </c>
      <c r="G22" s="17">
        <f>G17</f>
        <v/>
      </c>
      <c r="H22" s="17">
        <f>H17</f>
        <v/>
      </c>
      <c r="I22" s="17">
        <f>I17</f>
        <v/>
      </c>
      <c r="J22" s="17">
        <f>J17</f>
        <v/>
      </c>
      <c r="K22" s="17">
        <f>K17</f>
        <v/>
      </c>
      <c r="L22" s="17">
        <f>L17</f>
        <v/>
      </c>
      <c r="M22" s="17">
        <f>M17</f>
        <v/>
      </c>
      <c r="N22" s="17">
        <f>N17</f>
        <v/>
      </c>
      <c r="O22" s="17">
        <f>O17</f>
        <v/>
      </c>
      <c r="P22" s="17">
        <f>P17</f>
        <v/>
      </c>
      <c r="Q22" s="17">
        <f>Q17</f>
        <v/>
      </c>
      <c r="R22" s="17">
        <f>R17</f>
        <v/>
      </c>
      <c r="S22" s="17">
        <f>S17</f>
        <v/>
      </c>
    </row>
    <row r="23">
      <c r="A23" s="3" t="inlineStr">
        <is>
          <t>Despesa de juros total (dívida)</t>
        </is>
      </c>
      <c r="C23" s="17">
        <f>C19</f>
        <v/>
      </c>
      <c r="D23" s="17">
        <f>D19</f>
        <v/>
      </c>
      <c r="E23" s="17">
        <f>E19</f>
        <v/>
      </c>
      <c r="F23" s="17">
        <f>F19</f>
        <v/>
      </c>
      <c r="G23" s="17">
        <f>G19</f>
        <v/>
      </c>
      <c r="H23" s="17">
        <f>H19</f>
        <v/>
      </c>
      <c r="I23" s="17">
        <f>I19</f>
        <v/>
      </c>
      <c r="J23" s="17">
        <f>J19</f>
        <v/>
      </c>
      <c r="K23" s="17">
        <f>K19</f>
        <v/>
      </c>
      <c r="L23" s="17">
        <f>L19</f>
        <v/>
      </c>
      <c r="M23" s="17">
        <f>M19</f>
        <v/>
      </c>
      <c r="N23" s="17">
        <f>N19</f>
        <v/>
      </c>
      <c r="O23" s="17">
        <f>O19</f>
        <v/>
      </c>
      <c r="P23" s="17">
        <f>P19</f>
        <v/>
      </c>
      <c r="Q23" s="17">
        <f>Q19</f>
        <v/>
      </c>
      <c r="R23" s="17">
        <f>R19</f>
        <v/>
      </c>
      <c r="S23" s="17">
        <f>S19</f>
        <v/>
      </c>
    </row>
    <row r="25">
      <c r="A25" s="10" t="inlineStr">
        <is>
          <t>4. CAIXA E DÍVIDA LÍQUIDA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</row>
    <row r="26">
      <c r="A26" s="4" t="inlineStr">
        <is>
          <t>Caixa inicial</t>
        </is>
      </c>
      <c r="C26" s="14">
        <f>B32</f>
        <v/>
      </c>
      <c r="D26" s="14">
        <f>C32</f>
        <v/>
      </c>
      <c r="E26" s="14">
        <f>D32</f>
        <v/>
      </c>
      <c r="F26" s="14">
        <f>E32</f>
        <v/>
      </c>
      <c r="G26" s="14">
        <f>F32</f>
        <v/>
      </c>
      <c r="H26" s="14">
        <f>G32</f>
        <v/>
      </c>
      <c r="I26" s="14">
        <f>H32</f>
        <v/>
      </c>
      <c r="J26" s="14">
        <f>I32</f>
        <v/>
      </c>
      <c r="K26" s="14">
        <f>J32</f>
        <v/>
      </c>
      <c r="L26" s="14">
        <f>K32</f>
        <v/>
      </c>
      <c r="M26" s="14">
        <f>L32</f>
        <v/>
      </c>
      <c r="N26" s="14">
        <f>M32</f>
        <v/>
      </c>
      <c r="O26" s="14">
        <f>N32</f>
        <v/>
      </c>
      <c r="P26" s="14">
        <f>O32</f>
        <v/>
      </c>
      <c r="Q26" s="14">
        <f>P32</f>
        <v/>
      </c>
      <c r="R26" s="14">
        <f>Q32</f>
        <v/>
      </c>
      <c r="S26" s="14">
        <f>R32</f>
        <v/>
      </c>
    </row>
    <row r="27">
      <c r="A27" s="4" t="inlineStr">
        <is>
          <t>(+) FCF livre pré-financiamento (LINK do seu modelo)</t>
        </is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</row>
    <row r="28">
      <c r="A28" s="4" t="inlineStr">
        <is>
          <t>(–) Dividendos / JCP (input)</t>
        </is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</row>
    <row r="29">
      <c r="A29" s="5" t="inlineStr">
        <is>
          <t>(–) Juros pagos</t>
        </is>
      </c>
      <c r="C29" s="18">
        <f>C23</f>
        <v/>
      </c>
      <c r="D29" s="18">
        <f>D23</f>
        <v/>
      </c>
      <c r="E29" s="18">
        <f>E23</f>
        <v/>
      </c>
      <c r="F29" s="18">
        <f>F23</f>
        <v/>
      </c>
      <c r="G29" s="18">
        <f>G23</f>
        <v/>
      </c>
      <c r="H29" s="18">
        <f>H23</f>
        <v/>
      </c>
      <c r="I29" s="18">
        <f>I23</f>
        <v/>
      </c>
      <c r="J29" s="18">
        <f>J23</f>
        <v/>
      </c>
      <c r="K29" s="18">
        <f>K23</f>
        <v/>
      </c>
      <c r="L29" s="18">
        <f>L23</f>
        <v/>
      </c>
      <c r="M29" s="18">
        <f>M23</f>
        <v/>
      </c>
      <c r="N29" s="18">
        <f>N23</f>
        <v/>
      </c>
      <c r="O29" s="18">
        <f>O23</f>
        <v/>
      </c>
      <c r="P29" s="18">
        <f>P23</f>
        <v/>
      </c>
      <c r="Q29" s="18">
        <f>Q23</f>
        <v/>
      </c>
      <c r="R29" s="18">
        <f>R23</f>
        <v/>
      </c>
      <c r="S29" s="18">
        <f>S23</f>
        <v/>
      </c>
    </row>
    <row r="30">
      <c r="A30" s="5" t="inlineStr">
        <is>
          <t>(–) Amortizações totais</t>
        </is>
      </c>
      <c r="C30" s="18">
        <f>C16</f>
        <v/>
      </c>
      <c r="D30" s="18">
        <f>D16</f>
        <v/>
      </c>
      <c r="E30" s="18">
        <f>E16</f>
        <v/>
      </c>
      <c r="F30" s="18">
        <f>F16</f>
        <v/>
      </c>
      <c r="G30" s="18">
        <f>G16</f>
        <v/>
      </c>
      <c r="H30" s="18">
        <f>H16</f>
        <v/>
      </c>
      <c r="I30" s="18">
        <f>I16</f>
        <v/>
      </c>
      <c r="J30" s="18">
        <f>J16</f>
        <v/>
      </c>
      <c r="K30" s="18">
        <f>K16</f>
        <v/>
      </c>
      <c r="L30" s="18">
        <f>L16</f>
        <v/>
      </c>
      <c r="M30" s="18">
        <f>M16</f>
        <v/>
      </c>
      <c r="N30" s="18">
        <f>N16</f>
        <v/>
      </c>
      <c r="O30" s="18">
        <f>O16</f>
        <v/>
      </c>
      <c r="P30" s="18">
        <f>P16</f>
        <v/>
      </c>
      <c r="Q30" s="18">
        <f>Q16</f>
        <v/>
      </c>
      <c r="R30" s="18">
        <f>R16</f>
        <v/>
      </c>
      <c r="S30" s="18">
        <f>S16</f>
        <v/>
      </c>
    </row>
    <row r="31">
      <c r="A31" s="5" t="inlineStr">
        <is>
          <t>(+) Captações totais</t>
        </is>
      </c>
      <c r="C31" s="18">
        <f>C15</f>
        <v/>
      </c>
      <c r="D31" s="18">
        <f>D15</f>
        <v/>
      </c>
      <c r="E31" s="18">
        <f>E15</f>
        <v/>
      </c>
      <c r="F31" s="18">
        <f>F15</f>
        <v/>
      </c>
      <c r="G31" s="18">
        <f>G15</f>
        <v/>
      </c>
      <c r="H31" s="18">
        <f>H15</f>
        <v/>
      </c>
      <c r="I31" s="18">
        <f>I15</f>
        <v/>
      </c>
      <c r="J31" s="18">
        <f>J15</f>
        <v/>
      </c>
      <c r="K31" s="18">
        <f>K15</f>
        <v/>
      </c>
      <c r="L31" s="18">
        <f>L15</f>
        <v/>
      </c>
      <c r="M31" s="18">
        <f>M15</f>
        <v/>
      </c>
      <c r="N31" s="18">
        <f>N15</f>
        <v/>
      </c>
      <c r="O31" s="18">
        <f>O15</f>
        <v/>
      </c>
      <c r="P31" s="18">
        <f>P15</f>
        <v/>
      </c>
      <c r="Q31" s="18">
        <f>Q15</f>
        <v/>
      </c>
      <c r="R31" s="18">
        <f>R15</f>
        <v/>
      </c>
      <c r="S31" s="18">
        <f>S15</f>
        <v/>
      </c>
    </row>
    <row r="32">
      <c r="A32" s="3">
        <f> Caixa e equivalentes (fim)</f>
        <v/>
      </c>
      <c r="B32" s="16" t="n">
        <v>1700</v>
      </c>
      <c r="C32" s="17">
        <f>C26+C27-C28-C29-C30+C31</f>
        <v/>
      </c>
      <c r="D32" s="17">
        <f>D26+D27-D28-D29-D30+D31</f>
        <v/>
      </c>
      <c r="E32" s="17">
        <f>E26+E27-E28-E29-E30+E31</f>
        <v/>
      </c>
      <c r="F32" s="17">
        <f>F26+F27-F28-F29-F30+F31</f>
        <v/>
      </c>
      <c r="G32" s="17">
        <f>G26+G27-G28-G29-G30+G31</f>
        <v/>
      </c>
      <c r="H32" s="17">
        <f>H26+H27-H28-H29-H30+H31</f>
        <v/>
      </c>
      <c r="I32" s="17">
        <f>I26+I27-I28-I29-I30+I31</f>
        <v/>
      </c>
      <c r="J32" s="17">
        <f>J26+J27-J28-J29-J30+J31</f>
        <v/>
      </c>
      <c r="K32" s="17">
        <f>K26+K27-K28-K29-K30+K31</f>
        <v/>
      </c>
      <c r="L32" s="17">
        <f>L26+L27-L28-L29-L30+L31</f>
        <v/>
      </c>
      <c r="M32" s="17">
        <f>M26+M27-M28-M29-M30+M31</f>
        <v/>
      </c>
      <c r="N32" s="17">
        <f>N26+N27-N28-N29-N30+N31</f>
        <v/>
      </c>
      <c r="O32" s="17">
        <f>O26+O27-O28-O29-O30+O31</f>
        <v/>
      </c>
      <c r="P32" s="17">
        <f>P26+P27-P28-P29-P30+P31</f>
        <v/>
      </c>
      <c r="Q32" s="17">
        <f>Q26+Q27-Q28-Q29-Q30+Q31</f>
        <v/>
      </c>
      <c r="R32" s="17">
        <f>R26+R27-R28-R29-R30+R31</f>
        <v/>
      </c>
      <c r="S32" s="17">
        <f>S26+S27-S28-S29-S30+S31</f>
        <v/>
      </c>
    </row>
    <row r="33">
      <c r="A33" s="3" t="inlineStr">
        <is>
          <t>Dívida líquida</t>
        </is>
      </c>
      <c r="B33" s="16">
        <f>B22-B32</f>
        <v/>
      </c>
      <c r="C33" s="17">
        <f>C22-C32</f>
        <v/>
      </c>
      <c r="D33" s="17">
        <f>D22-D32</f>
        <v/>
      </c>
      <c r="E33" s="17">
        <f>E22-E32</f>
        <v/>
      </c>
      <c r="F33" s="17">
        <f>F22-F32</f>
        <v/>
      </c>
      <c r="G33" s="17">
        <f>G22-G32</f>
        <v/>
      </c>
      <c r="H33" s="17">
        <f>H22-H32</f>
        <v/>
      </c>
      <c r="I33" s="17">
        <f>I22-I32</f>
        <v/>
      </c>
      <c r="J33" s="17">
        <f>J22-J32</f>
        <v/>
      </c>
      <c r="K33" s="17">
        <f>K22-K32</f>
        <v/>
      </c>
      <c r="L33" s="17">
        <f>L22-L32</f>
        <v/>
      </c>
      <c r="M33" s="17">
        <f>M22-M32</f>
        <v/>
      </c>
      <c r="N33" s="17">
        <f>N22-N32</f>
        <v/>
      </c>
      <c r="O33" s="17">
        <f>O22-O32</f>
        <v/>
      </c>
      <c r="P33" s="17">
        <f>P22-P32</f>
        <v/>
      </c>
      <c r="Q33" s="17">
        <f>Q22-Q32</f>
        <v/>
      </c>
      <c r="R33" s="17">
        <f>R22-R32</f>
        <v/>
      </c>
      <c r="S33" s="17">
        <f>S22-S32</f>
        <v/>
      </c>
    </row>
    <row r="35">
      <c r="A35" s="10" t="inlineStr">
        <is>
          <t>5. INTERFACE P/ VALUATION  (referencie estas linhas no seu modelo)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</row>
    <row r="36">
      <c r="A36" s="3" t="inlineStr">
        <is>
          <t>Dívida bruta (fim)</t>
        </is>
      </c>
      <c r="B36" s="19">
        <f>B22</f>
        <v/>
      </c>
      <c r="C36" s="19">
        <f>C22</f>
        <v/>
      </c>
      <c r="D36" s="19">
        <f>D22</f>
        <v/>
      </c>
      <c r="E36" s="19">
        <f>E22</f>
        <v/>
      </c>
      <c r="F36" s="19">
        <f>F22</f>
        <v/>
      </c>
      <c r="G36" s="19">
        <f>G22</f>
        <v/>
      </c>
      <c r="H36" s="19">
        <f>H22</f>
        <v/>
      </c>
      <c r="I36" s="19">
        <f>I22</f>
        <v/>
      </c>
      <c r="J36" s="19">
        <f>J22</f>
        <v/>
      </c>
      <c r="K36" s="19">
        <f>K22</f>
        <v/>
      </c>
      <c r="L36" s="19">
        <f>L22</f>
        <v/>
      </c>
      <c r="M36" s="19">
        <f>M22</f>
        <v/>
      </c>
      <c r="N36" s="19">
        <f>N22</f>
        <v/>
      </c>
      <c r="O36" s="19">
        <f>O22</f>
        <v/>
      </c>
      <c r="P36" s="19">
        <f>P22</f>
        <v/>
      </c>
      <c r="Q36" s="19">
        <f>Q22</f>
        <v/>
      </c>
      <c r="R36" s="19">
        <f>R22</f>
        <v/>
      </c>
      <c r="S36" s="19">
        <f>S22</f>
        <v/>
      </c>
    </row>
    <row r="37">
      <c r="A37" s="3" t="inlineStr">
        <is>
          <t>Caixa e equivalentes (fim)</t>
        </is>
      </c>
      <c r="B37" s="19">
        <f>B32</f>
        <v/>
      </c>
      <c r="C37" s="19">
        <f>C32</f>
        <v/>
      </c>
      <c r="D37" s="19">
        <f>D32</f>
        <v/>
      </c>
      <c r="E37" s="19">
        <f>E32</f>
        <v/>
      </c>
      <c r="F37" s="19">
        <f>F32</f>
        <v/>
      </c>
      <c r="G37" s="19">
        <f>G32</f>
        <v/>
      </c>
      <c r="H37" s="19">
        <f>H32</f>
        <v/>
      </c>
      <c r="I37" s="19">
        <f>I32</f>
        <v/>
      </c>
      <c r="J37" s="19">
        <f>J32</f>
        <v/>
      </c>
      <c r="K37" s="19">
        <f>K32</f>
        <v/>
      </c>
      <c r="L37" s="19">
        <f>L32</f>
        <v/>
      </c>
      <c r="M37" s="19">
        <f>M32</f>
        <v/>
      </c>
      <c r="N37" s="19">
        <f>N32</f>
        <v/>
      </c>
      <c r="O37" s="19">
        <f>O32</f>
        <v/>
      </c>
      <c r="P37" s="19">
        <f>P32</f>
        <v/>
      </c>
      <c r="Q37" s="19">
        <f>Q32</f>
        <v/>
      </c>
      <c r="R37" s="19">
        <f>R32</f>
        <v/>
      </c>
      <c r="S37" s="19">
        <f>S32</f>
        <v/>
      </c>
    </row>
    <row r="38">
      <c r="A38" s="3" t="inlineStr">
        <is>
          <t>Dívida líquida (fim)</t>
        </is>
      </c>
      <c r="B38" s="19">
        <f>B33</f>
        <v/>
      </c>
      <c r="C38" s="19">
        <f>C33</f>
        <v/>
      </c>
      <c r="D38" s="19">
        <f>D33</f>
        <v/>
      </c>
      <c r="E38" s="19">
        <f>E33</f>
        <v/>
      </c>
      <c r="F38" s="19">
        <f>F33</f>
        <v/>
      </c>
      <c r="G38" s="19">
        <f>G33</f>
        <v/>
      </c>
      <c r="H38" s="19">
        <f>H33</f>
        <v/>
      </c>
      <c r="I38" s="19">
        <f>I33</f>
        <v/>
      </c>
      <c r="J38" s="19">
        <f>J33</f>
        <v/>
      </c>
      <c r="K38" s="19">
        <f>K33</f>
        <v/>
      </c>
      <c r="L38" s="19">
        <f>L33</f>
        <v/>
      </c>
      <c r="M38" s="19">
        <f>M33</f>
        <v/>
      </c>
      <c r="N38" s="19">
        <f>N33</f>
        <v/>
      </c>
      <c r="O38" s="19">
        <f>O33</f>
        <v/>
      </c>
      <c r="P38" s="19">
        <f>P33</f>
        <v/>
      </c>
      <c r="Q38" s="19">
        <f>Q33</f>
        <v/>
      </c>
      <c r="R38" s="19">
        <f>R33</f>
        <v/>
      </c>
      <c r="S38" s="19">
        <f>S33</f>
        <v/>
      </c>
    </row>
    <row r="39">
      <c r="A39" s="4" t="inlineStr">
        <is>
          <t>Amortizações (saída — financiamento)</t>
        </is>
      </c>
      <c r="C39" s="20">
        <f>C16</f>
        <v/>
      </c>
      <c r="D39" s="20">
        <f>D16</f>
        <v/>
      </c>
      <c r="E39" s="20">
        <f>E16</f>
        <v/>
      </c>
      <c r="F39" s="20">
        <f>F16</f>
        <v/>
      </c>
      <c r="G39" s="20">
        <f>G16</f>
        <v/>
      </c>
      <c r="H39" s="20">
        <f>H16</f>
        <v/>
      </c>
      <c r="I39" s="20">
        <f>I16</f>
        <v/>
      </c>
      <c r="J39" s="20">
        <f>J16</f>
        <v/>
      </c>
      <c r="K39" s="20">
        <f>K16</f>
        <v/>
      </c>
      <c r="L39" s="20">
        <f>L16</f>
        <v/>
      </c>
      <c r="M39" s="20">
        <f>M16</f>
        <v/>
      </c>
      <c r="N39" s="20">
        <f>N16</f>
        <v/>
      </c>
      <c r="O39" s="20">
        <f>O16</f>
        <v/>
      </c>
      <c r="P39" s="20">
        <f>P16</f>
        <v/>
      </c>
      <c r="Q39" s="20">
        <f>Q16</f>
        <v/>
      </c>
      <c r="R39" s="20">
        <f>R16</f>
        <v/>
      </c>
      <c r="S39" s="20">
        <f>S16</f>
        <v/>
      </c>
    </row>
    <row r="40">
      <c r="A40" s="4" t="inlineStr">
        <is>
          <t>Captações (entrada — financiamento)</t>
        </is>
      </c>
      <c r="C40" s="20">
        <f>C15</f>
        <v/>
      </c>
      <c r="D40" s="20">
        <f>D15</f>
        <v/>
      </c>
      <c r="E40" s="20">
        <f>E15</f>
        <v/>
      </c>
      <c r="F40" s="20">
        <f>F15</f>
        <v/>
      </c>
      <c r="G40" s="20">
        <f>G15</f>
        <v/>
      </c>
      <c r="H40" s="20">
        <f>H15</f>
        <v/>
      </c>
      <c r="I40" s="20">
        <f>I15</f>
        <v/>
      </c>
      <c r="J40" s="20">
        <f>J15</f>
        <v/>
      </c>
      <c r="K40" s="20">
        <f>K15</f>
        <v/>
      </c>
      <c r="L40" s="20">
        <f>L15</f>
        <v/>
      </c>
      <c r="M40" s="20">
        <f>M15</f>
        <v/>
      </c>
      <c r="N40" s="20">
        <f>N15</f>
        <v/>
      </c>
      <c r="O40" s="20">
        <f>O15</f>
        <v/>
      </c>
      <c r="P40" s="20">
        <f>P15</f>
        <v/>
      </c>
      <c r="Q40" s="20">
        <f>Q15</f>
        <v/>
      </c>
      <c r="R40" s="20">
        <f>R15</f>
        <v/>
      </c>
      <c r="S40" s="20">
        <f>S15</f>
        <v/>
      </c>
    </row>
    <row r="41">
      <c r="A41" s="3" t="inlineStr">
        <is>
          <t>Despesa de juros (P&amp;L, competência)</t>
        </is>
      </c>
      <c r="C41" s="19">
        <f>C23</f>
        <v/>
      </c>
      <c r="D41" s="19">
        <f>D23</f>
        <v/>
      </c>
      <c r="E41" s="19">
        <f>E23</f>
        <v/>
      </c>
      <c r="F41" s="19">
        <f>F23</f>
        <v/>
      </c>
      <c r="G41" s="19">
        <f>G23</f>
        <v/>
      </c>
      <c r="H41" s="19">
        <f>H23</f>
        <v/>
      </c>
      <c r="I41" s="19">
        <f>I23</f>
        <v/>
      </c>
      <c r="J41" s="19">
        <f>J23</f>
        <v/>
      </c>
      <c r="K41" s="19">
        <f>K23</f>
        <v/>
      </c>
      <c r="L41" s="19">
        <f>L23</f>
        <v/>
      </c>
      <c r="M41" s="19">
        <f>M23</f>
        <v/>
      </c>
      <c r="N41" s="19">
        <f>N23</f>
        <v/>
      </c>
      <c r="O41" s="19">
        <f>O23</f>
        <v/>
      </c>
      <c r="P41" s="19">
        <f>P23</f>
        <v/>
      </c>
      <c r="Q41" s="19">
        <f>Q23</f>
        <v/>
      </c>
      <c r="R41" s="19">
        <f>R23</f>
        <v/>
      </c>
      <c r="S41" s="19">
        <f>S23</f>
        <v/>
      </c>
    </row>
    <row r="42">
      <c r="A42" s="4" t="inlineStr">
        <is>
          <t>Juros após IR</t>
        </is>
      </c>
      <c r="C42" s="20">
        <f>C23*(1-$B$11)</f>
        <v/>
      </c>
      <c r="D42" s="20">
        <f>D23*(1-$B$11)</f>
        <v/>
      </c>
      <c r="E42" s="20">
        <f>E23*(1-$B$11)</f>
        <v/>
      </c>
      <c r="F42" s="20">
        <f>F23*(1-$B$11)</f>
        <v/>
      </c>
      <c r="G42" s="20">
        <f>G23*(1-$B$11)</f>
        <v/>
      </c>
      <c r="H42" s="20">
        <f>H23*(1-$B$11)</f>
        <v/>
      </c>
      <c r="I42" s="20">
        <f>I23*(1-$B$11)</f>
        <v/>
      </c>
      <c r="J42" s="20">
        <f>J23*(1-$B$11)</f>
        <v/>
      </c>
      <c r="K42" s="20">
        <f>K23*(1-$B$11)</f>
        <v/>
      </c>
      <c r="L42" s="20">
        <f>L23*(1-$B$11)</f>
        <v/>
      </c>
      <c r="M42" s="20">
        <f>M23*(1-$B$11)</f>
        <v/>
      </c>
      <c r="N42" s="20">
        <f>N23*(1-$B$11)</f>
        <v/>
      </c>
      <c r="O42" s="20">
        <f>O23*(1-$B$11)</f>
        <v/>
      </c>
      <c r="P42" s="20">
        <f>P23*(1-$B$11)</f>
        <v/>
      </c>
      <c r="Q42" s="20">
        <f>Q23*(1-$B$11)</f>
        <v/>
      </c>
      <c r="R42" s="20">
        <f>R23*(1-$B$11)</f>
        <v/>
      </c>
      <c r="S42" s="20">
        <f>S23*(1-$B$11)</f>
        <v/>
      </c>
    </row>
    <row r="43">
      <c r="A43" s="4" t="inlineStr">
        <is>
          <t>Economia fiscal dos juros (tax shield)</t>
        </is>
      </c>
      <c r="C43" s="20">
        <f>C23*$B$11</f>
        <v/>
      </c>
      <c r="D43" s="20">
        <f>D23*$B$11</f>
        <v/>
      </c>
      <c r="E43" s="20">
        <f>E23*$B$11</f>
        <v/>
      </c>
      <c r="F43" s="20">
        <f>F23*$B$11</f>
        <v/>
      </c>
      <c r="G43" s="20">
        <f>G23*$B$11</f>
        <v/>
      </c>
      <c r="H43" s="20">
        <f>H23*$B$11</f>
        <v/>
      </c>
      <c r="I43" s="20">
        <f>I23*$B$11</f>
        <v/>
      </c>
      <c r="J43" s="20">
        <f>J23*$B$11</f>
        <v/>
      </c>
      <c r="K43" s="20">
        <f>K23*$B$11</f>
        <v/>
      </c>
      <c r="L43" s="20">
        <f>L23*$B$11</f>
        <v/>
      </c>
      <c r="M43" s="20">
        <f>M23*$B$11</f>
        <v/>
      </c>
      <c r="N43" s="20">
        <f>N23*$B$11</f>
        <v/>
      </c>
      <c r="O43" s="20">
        <f>O23*$B$11</f>
        <v/>
      </c>
      <c r="P43" s="20">
        <f>P23*$B$11</f>
        <v/>
      </c>
      <c r="Q43" s="20">
        <f>Q23*$B$11</f>
        <v/>
      </c>
      <c r="R43" s="20">
        <f>R23*$B$11</f>
        <v/>
      </c>
      <c r="S43" s="20">
        <f>S23*$B$11</f>
        <v/>
      </c>
    </row>
    <row r="44">
      <c r="A44" s="4" t="inlineStr">
        <is>
          <t>EBITDA LTM (input opcional — link do seu modelo)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>
      <c r="A45" s="4" t="inlineStr">
        <is>
          <t>Dívida líquida / EBITDA (x)</t>
        </is>
      </c>
      <c r="B45" s="21">
        <f>IFERROR(B38/B44,"")</f>
        <v/>
      </c>
      <c r="C45" s="21">
        <f>IFERROR(C38/C44,"")</f>
        <v/>
      </c>
      <c r="D45" s="21">
        <f>IFERROR(D38/D44,"")</f>
        <v/>
      </c>
      <c r="E45" s="21">
        <f>IFERROR(E38/E44,"")</f>
        <v/>
      </c>
      <c r="F45" s="21">
        <f>IFERROR(F38/F44,"")</f>
        <v/>
      </c>
      <c r="G45" s="21">
        <f>IFERROR(G38/G44,"")</f>
        <v/>
      </c>
      <c r="H45" s="21">
        <f>IFERROR(H38/H44,"")</f>
        <v/>
      </c>
      <c r="I45" s="21">
        <f>IFERROR(I38/I44,"")</f>
        <v/>
      </c>
      <c r="J45" s="21">
        <f>IFERROR(J38/J44,"")</f>
        <v/>
      </c>
      <c r="K45" s="21">
        <f>IFERROR(K38/K44,"")</f>
        <v/>
      </c>
      <c r="L45" s="21">
        <f>IFERROR(L38/L44,"")</f>
        <v/>
      </c>
      <c r="M45" s="21">
        <f>IFERROR(M38/M44,"")</f>
        <v/>
      </c>
      <c r="N45" s="21">
        <f>IFERROR(N38/N44,"")</f>
        <v/>
      </c>
      <c r="O45" s="21">
        <f>IFERROR(O38/O44,"")</f>
        <v/>
      </c>
      <c r="P45" s="21">
        <f>IFERROR(P38/P44,"")</f>
        <v/>
      </c>
      <c r="Q45" s="21">
        <f>IFERROR(Q38/Q44,"")</f>
        <v/>
      </c>
      <c r="R45" s="21">
        <f>IFERROR(R38/R44,"")</f>
        <v/>
      </c>
      <c r="S45" s="21">
        <f>IFERROR(S38/S44,"")</f>
        <v/>
      </c>
    </row>
    <row r="47">
      <c r="A47" s="5" t="inlineStr">
        <is>
          <t>Nota: juros em regime de competência (proxy p/ caixa). Ligue a linha de FCF livre ao seu modelo para o caixa e a dívida líquida rodarem sozinhos. Preencha as amortizações/captações reais nas células amarelas.</t>
        </is>
      </c>
    </row>
  </sheetData>
  <mergeCells count="1">
    <mergeCell ref="A47:S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2026-07-15T17:56:04Z</dcterms:created>
  <dcterms:modified xsi:type="dcterms:W3CDTF">2026-07-15T17:56:04Z</dcterms:modified>
</cp:coreProperties>
</file>