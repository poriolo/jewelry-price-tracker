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Modelo_Dívi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sz val="10"/>
    </font>
    <font>
      <i val="1"/>
      <color rgb="00808080"/>
      <sz val="8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0" fontId="3" fillId="0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165" fontId="3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2" customWidth="1" min="2" max="2"/>
  </cols>
  <sheetData>
    <row r="1">
      <c r="B1" s="1" t="inlineStr">
        <is>
          <t>VIVARA (VIVA3) — Fluxo de Dívida (módulo de valuation)</t>
        </is>
      </c>
    </row>
    <row r="2">
      <c r="B2" s="2" t="inlineStr"/>
    </row>
    <row r="3">
      <c r="B3" s="3" t="inlineStr">
        <is>
          <t>O QUE É</t>
        </is>
      </c>
    </row>
    <row r="4">
      <c r="B4" s="4" t="inlineStr">
        <is>
          <t>Cronograma de dívida bruta, despesa de juros e dívida líquida, montado como motor</t>
        </is>
      </c>
    </row>
    <row r="5">
      <c r="B5" s="4" t="inlineStr">
        <is>
          <t>independente para acoplar ao seu valuation. Trimestral (aberto até 4T27) e anual até 2037.</t>
        </is>
      </c>
    </row>
    <row r="6">
      <c r="B6" s="2" t="inlineStr"/>
    </row>
    <row r="7">
      <c r="B7" s="3" t="inlineStr">
        <is>
          <t>COMO ACOPLAR (aba 'Modelo_Dívida')</t>
        </is>
      </c>
    </row>
    <row r="8">
      <c r="B8" s="4" t="inlineStr">
        <is>
          <t>1. Amarelo = premissa/input (CDI, spreads, amortizações, captações, dividendos e o FCF livre).</t>
        </is>
      </c>
    </row>
    <row r="9">
      <c r="B9" s="4" t="inlineStr">
        <is>
          <t>2. Ligue a linha 'FCF livre pré-financiamento (LINK)' ao FCF do seu modelo → caixa e dívida</t>
        </is>
      </c>
    </row>
    <row r="10">
      <c r="B10" s="4" t="inlineStr">
        <is>
          <t xml:space="preserve">   líquida rodam sozinhos.</t>
        </is>
      </c>
    </row>
    <row r="11">
      <c r="B11" s="4" t="inlineStr">
        <is>
          <t>3. Referencie no seu valuation as linhas VERDES da seção de Interface.</t>
        </is>
      </c>
    </row>
    <row r="12">
      <c r="B12" s="4" t="inlineStr">
        <is>
          <t>4. Azul = dado real reportado (âncora), não recalcula.</t>
        </is>
      </c>
    </row>
    <row r="13">
      <c r="B13" s="2" t="inlineStr"/>
    </row>
    <row r="14">
      <c r="B14" s="3" t="inlineStr">
        <is>
          <t>PREMISSAS-CHAVE (reais, pesquisadas)</t>
        </is>
      </c>
    </row>
    <row r="15">
      <c r="B15" s="4" t="inlineStr">
        <is>
          <t>• Debênture VIVA11 (1ª emissão): R$ 300 mi, 27/08/2025→2030, 100% CDI + 0,70% a.a.,</t>
        </is>
      </c>
    </row>
    <row r="16">
      <c r="B16" s="4" t="inlineStr">
        <is>
          <t xml:space="preserve">  juros semestrais; amortização 50% em 2029 e 50% em 2030; recursos p/ liquidar CCBs.</t>
        </is>
      </c>
    </row>
    <row r="17">
      <c r="B17" s="4" t="inlineStr">
        <is>
          <t>• 31/12/2025: dívida bruta R$ 531,3 mi | caixa R$ 398,6 mi | dívida líquida R$ 132,6 mi.</t>
        </is>
      </c>
    </row>
    <row r="18">
      <c r="B18" s="4" t="inlineStr">
        <is>
          <t>• 1T26: dívida líquida R$ 246,6 mi | alavancagem 0,3x ND/EBITDA.</t>
        </is>
      </c>
    </row>
    <row r="19">
      <c r="B19" s="2" t="inlineStr"/>
    </row>
    <row r="20">
      <c r="B20" s="3" t="inlineStr">
        <is>
          <t>PREMISSAS ESTIMADAS (ajuste com o ITR)</t>
        </is>
      </c>
    </row>
    <row r="21">
      <c r="B21" s="4" t="inlineStr">
        <is>
          <t>• 'Outras dívidas' = bruta − debêntures = R$ 231,3 mi, modeladas como rolagem (amort. = 0).</t>
        </is>
      </c>
    </row>
    <row r="22">
      <c r="B22" s="4" t="inlineStr">
        <is>
          <t>• Spread outras dívidas = CDI + 2,00% a.a.; caixa 1T26 (R$ 284,7 mi) fecha a DL reportada.</t>
        </is>
      </c>
    </row>
    <row r="23">
      <c r="B23" s="4" t="inlineStr">
        <is>
          <t>• 'Despesa de juros' é só a da dívida; o resultado financeiro reportado (−R$ 15 mi no 1T26)</t>
        </is>
      </c>
    </row>
    <row r="24">
      <c r="B24" s="4" t="inlineStr">
        <is>
          <t xml:space="preserve">  inclui derivativos/MtM e não bate 1:1.</t>
        </is>
      </c>
    </row>
    <row r="25">
      <c r="B25" s="2" t="inlineStr"/>
    </row>
    <row r="26">
      <c r="B26" s="3" t="inlineStr">
        <is>
          <t>FONTES</t>
        </is>
      </c>
    </row>
    <row r="27">
      <c r="B27" s="5" t="inlineStr">
        <is>
          <t>• Release 1T26 (Money Times / Nord / Análise de Ações); VIVA11 (debentures.com.br /</t>
        </is>
      </c>
    </row>
    <row r="28">
      <c r="B28" s="5" t="inlineStr">
        <is>
          <t xml:space="preserve">  Mais Retorno / ANBIMA); emissão R$ 300 mi (Lex Legal); DF 2025 Vivara Participações.</t>
        </is>
      </c>
    </row>
    <row r="29">
      <c r="B29" s="2" t="inlineStr"/>
    </row>
    <row r="30">
      <c r="B30" s="5" t="inlineStr">
        <is>
          <t>Gerado por build_debt_model.py — reexecute p/ regenerar. R$ milhões salvo indicado.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</cols>
  <sheetData>
    <row r="1">
      <c r="A1" s="6" t="inlineStr">
        <is>
          <t>VIVARA (VIVA3) — Fluxo de Dívida (módulo de valuation)</t>
        </is>
      </c>
    </row>
    <row r="2">
      <c r="A2" s="7" t="inlineStr">
        <is>
          <t>R$ milhões  •  Trimestral (aberto até 4T27) e anual até 2037  •  amarelo=input, azul=real, verde=interface</t>
        </is>
      </c>
    </row>
    <row r="4">
      <c r="A4" s="8" t="inlineStr">
        <is>
          <t>Período</t>
        </is>
      </c>
      <c r="B4" s="8" t="inlineStr">
        <is>
          <t>4T25
(Real)</t>
        </is>
      </c>
      <c r="C4" s="8" t="inlineStr">
        <is>
          <t>1T26
(Real)</t>
        </is>
      </c>
      <c r="D4" s="8" t="inlineStr">
        <is>
          <t>2T26E</t>
        </is>
      </c>
      <c r="E4" s="8" t="inlineStr">
        <is>
          <t>3T26E</t>
        </is>
      </c>
      <c r="F4" s="8" t="inlineStr">
        <is>
          <t>4T26E</t>
        </is>
      </c>
      <c r="G4" s="8" t="inlineStr">
        <is>
          <t>1T27E</t>
        </is>
      </c>
      <c r="H4" s="8" t="inlineStr">
        <is>
          <t>2T27E</t>
        </is>
      </c>
      <c r="I4" s="8" t="inlineStr">
        <is>
          <t>3T27E</t>
        </is>
      </c>
      <c r="J4" s="8" t="inlineStr">
        <is>
          <t>4T27E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  <c r="N4" s="8" t="inlineStr">
        <is>
          <t>2031E</t>
        </is>
      </c>
      <c r="O4" s="8" t="inlineStr">
        <is>
          <t>2032E</t>
        </is>
      </c>
      <c r="P4" s="8" t="inlineStr">
        <is>
          <t>2033E</t>
        </is>
      </c>
      <c r="Q4" s="8" t="inlineStr">
        <is>
          <t>2034E</t>
        </is>
      </c>
      <c r="R4" s="8" t="inlineStr">
        <is>
          <t>2035E</t>
        </is>
      </c>
      <c r="S4" s="8" t="inlineStr">
        <is>
          <t>2036E</t>
        </is>
      </c>
      <c r="T4" s="8" t="inlineStr">
        <is>
          <t>2037E</t>
        </is>
      </c>
    </row>
    <row r="5">
      <c r="A5" s="5" t="inlineStr">
        <is>
          <t>Fator do período (fração de ano)</t>
        </is>
      </c>
      <c r="B5" s="9" t="n"/>
      <c r="C5" s="9" t="n">
        <v>0.25</v>
      </c>
      <c r="D5" s="9" t="n">
        <v>0.25</v>
      </c>
      <c r="E5" s="9" t="n">
        <v>0.25</v>
      </c>
      <c r="F5" s="9" t="n">
        <v>0.25</v>
      </c>
      <c r="G5" s="9" t="n">
        <v>0.25</v>
      </c>
      <c r="H5" s="9" t="n">
        <v>0.25</v>
      </c>
      <c r="I5" s="9" t="n">
        <v>0.25</v>
      </c>
      <c r="J5" s="9" t="n">
        <v>0.25</v>
      </c>
      <c r="K5" s="9" t="n">
        <v>1</v>
      </c>
      <c r="L5" s="9" t="n">
        <v>1</v>
      </c>
      <c r="M5" s="9" t="n">
        <v>1</v>
      </c>
      <c r="N5" s="9" t="n">
        <v>1</v>
      </c>
      <c r="O5" s="9" t="n">
        <v>1</v>
      </c>
      <c r="P5" s="9" t="n">
        <v>1</v>
      </c>
      <c r="Q5" s="9" t="n">
        <v>1</v>
      </c>
      <c r="R5" s="9" t="n">
        <v>1</v>
      </c>
      <c r="S5" s="9" t="n">
        <v>1</v>
      </c>
      <c r="T5" s="9" t="n">
        <v>1</v>
      </c>
    </row>
    <row r="7">
      <c r="A7" s="10" t="inlineStr">
        <is>
          <t>1. PREMISSAS (edite as células amarelas)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>
      <c r="A8" s="4" t="inlineStr">
        <is>
          <t>CDI (% a.a.)</t>
        </is>
      </c>
      <c r="B8" s="12" t="n"/>
      <c r="C8" s="13" t="n">
        <v>0.149</v>
      </c>
      <c r="D8" s="13" t="n">
        <v>0.149</v>
      </c>
      <c r="E8" s="13" t="n">
        <v>0.1475</v>
      </c>
      <c r="F8" s="13" t="n">
        <v>0.145</v>
      </c>
      <c r="G8" s="13" t="n">
        <v>0.14</v>
      </c>
      <c r="H8" s="13" t="n">
        <v>0.135</v>
      </c>
      <c r="I8" s="13" t="n">
        <v>0.13</v>
      </c>
      <c r="J8" s="13" t="n">
        <v>0.125</v>
      </c>
      <c r="K8" s="13" t="n">
        <v>0.11</v>
      </c>
      <c r="L8" s="13" t="n">
        <v>0.105</v>
      </c>
      <c r="M8" s="13" t="n">
        <v>0.1</v>
      </c>
      <c r="N8" s="13" t="n">
        <v>0.0975</v>
      </c>
      <c r="O8" s="13" t="n">
        <v>0.095</v>
      </c>
      <c r="P8" s="13" t="n">
        <v>0.095</v>
      </c>
      <c r="Q8" s="13" t="n">
        <v>0.095</v>
      </c>
      <c r="R8" s="13" t="n">
        <v>0.095</v>
      </c>
      <c r="S8" s="13" t="n">
        <v>0.095</v>
      </c>
      <c r="T8" s="13" t="n">
        <v>0.095</v>
      </c>
    </row>
    <row r="9">
      <c r="A9" s="4" t="inlineStr">
        <is>
          <t>Spread Debêntures VIVA11 (a.a.)</t>
        </is>
      </c>
      <c r="B9" s="13" t="n">
        <v>0.007</v>
      </c>
    </row>
    <row r="10">
      <c r="A10" s="4" t="inlineStr">
        <is>
          <t>Spread Outras dívidas (a.a.)</t>
        </is>
      </c>
      <c r="B10" s="13" t="n">
        <v>0.02</v>
      </c>
    </row>
    <row r="11">
      <c r="A11" s="4" t="inlineStr">
        <is>
          <t>Alíquota IR/CSLL</t>
        </is>
      </c>
      <c r="B11" s="13" t="n">
        <v>0.34</v>
      </c>
    </row>
    <row r="13">
      <c r="A13" s="10" t="inlineStr">
        <is>
          <t>2. DEBÊNTURES VIVA11  (100% CDI + 0,70% • amort. 50% 2029 / 50% 2030)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4" t="inlineStr">
        <is>
          <t>Saldo inicial</t>
        </is>
      </c>
      <c r="C14" s="14">
        <f>B17</f>
        <v/>
      </c>
      <c r="D14" s="14">
        <f>C17</f>
        <v/>
      </c>
      <c r="E14" s="14">
        <f>D17</f>
        <v/>
      </c>
      <c r="F14" s="14">
        <f>E17</f>
        <v/>
      </c>
      <c r="G14" s="14">
        <f>F17</f>
        <v/>
      </c>
      <c r="H14" s="14">
        <f>G17</f>
        <v/>
      </c>
      <c r="I14" s="14">
        <f>H17</f>
        <v/>
      </c>
      <c r="J14" s="14">
        <f>I17</f>
        <v/>
      </c>
      <c r="K14" s="14">
        <f>J17</f>
        <v/>
      </c>
      <c r="L14" s="14">
        <f>K17</f>
        <v/>
      </c>
      <c r="M14" s="14">
        <f>L17</f>
        <v/>
      </c>
      <c r="N14" s="14">
        <f>M17</f>
        <v/>
      </c>
      <c r="O14" s="14">
        <f>N17</f>
        <v/>
      </c>
      <c r="P14" s="14">
        <f>O17</f>
        <v/>
      </c>
      <c r="Q14" s="14">
        <f>P17</f>
        <v/>
      </c>
      <c r="R14" s="14">
        <f>Q17</f>
        <v/>
      </c>
      <c r="S14" s="14">
        <f>R17</f>
        <v/>
      </c>
      <c r="T14" s="14">
        <f>S17</f>
        <v/>
      </c>
    </row>
    <row r="15">
      <c r="A15" s="4" t="inlineStr">
        <is>
          <t>(+) Captações</t>
        </is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</row>
    <row r="16">
      <c r="A16" s="4" t="inlineStr">
        <is>
          <t>(–) Amortizações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150</v>
      </c>
      <c r="M16" s="15" t="n">
        <v>150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</row>
    <row r="17">
      <c r="A17" s="3">
        <f> Saldo final</f>
        <v/>
      </c>
      <c r="B17" s="16" t="n">
        <v>300</v>
      </c>
      <c r="C17" s="17">
        <f>C14+C15-C16</f>
        <v/>
      </c>
      <c r="D17" s="17">
        <f>D14+D15-D16</f>
        <v/>
      </c>
      <c r="E17" s="17">
        <f>E14+E15-E16</f>
        <v/>
      </c>
      <c r="F17" s="17">
        <f>F14+F15-F16</f>
        <v/>
      </c>
      <c r="G17" s="17">
        <f>G14+G15-G16</f>
        <v/>
      </c>
      <c r="H17" s="17">
        <f>H14+H15-H16</f>
        <v/>
      </c>
      <c r="I17" s="17">
        <f>I14+I15-I16</f>
        <v/>
      </c>
      <c r="J17" s="17">
        <f>J14+J15-J16</f>
        <v/>
      </c>
      <c r="K17" s="17">
        <f>K14+K15-K16</f>
        <v/>
      </c>
      <c r="L17" s="17">
        <f>L14+L15-L16</f>
        <v/>
      </c>
      <c r="M17" s="17">
        <f>M14+M15-M16</f>
        <v/>
      </c>
      <c r="N17" s="17">
        <f>N14+N15-N16</f>
        <v/>
      </c>
      <c r="O17" s="17">
        <f>O14+O15-O16</f>
        <v/>
      </c>
      <c r="P17" s="17">
        <f>P14+P15-P16</f>
        <v/>
      </c>
      <c r="Q17" s="17">
        <f>Q14+Q15-Q16</f>
        <v/>
      </c>
      <c r="R17" s="17">
        <f>R14+R15-R16</f>
        <v/>
      </c>
      <c r="S17" s="17">
        <f>S14+S15-S16</f>
        <v/>
      </c>
      <c r="T17" s="17">
        <f>T14+T15-T16</f>
        <v/>
      </c>
    </row>
    <row r="18">
      <c r="A18" s="5" t="inlineStr">
        <is>
          <t>Saldo médio</t>
        </is>
      </c>
      <c r="C18" s="18">
        <f>(C14+C17)/2</f>
        <v/>
      </c>
      <c r="D18" s="18">
        <f>(D14+D17)/2</f>
        <v/>
      </c>
      <c r="E18" s="18">
        <f>(E14+E17)/2</f>
        <v/>
      </c>
      <c r="F18" s="18">
        <f>(F14+F17)/2</f>
        <v/>
      </c>
      <c r="G18" s="18">
        <f>(G14+G17)/2</f>
        <v/>
      </c>
      <c r="H18" s="18">
        <f>(H14+H17)/2</f>
        <v/>
      </c>
      <c r="I18" s="18">
        <f>(I14+I17)/2</f>
        <v/>
      </c>
      <c r="J18" s="18">
        <f>(J14+J17)/2</f>
        <v/>
      </c>
      <c r="K18" s="18">
        <f>(K14+K17)/2</f>
        <v/>
      </c>
      <c r="L18" s="18">
        <f>(L14+L17)/2</f>
        <v/>
      </c>
      <c r="M18" s="18">
        <f>(M14+M17)/2</f>
        <v/>
      </c>
      <c r="N18" s="18">
        <f>(N14+N17)/2</f>
        <v/>
      </c>
      <c r="O18" s="18">
        <f>(O14+O17)/2</f>
        <v/>
      </c>
      <c r="P18" s="18">
        <f>(P14+P17)/2</f>
        <v/>
      </c>
      <c r="Q18" s="18">
        <f>(Q14+Q17)/2</f>
        <v/>
      </c>
      <c r="R18" s="18">
        <f>(R14+R17)/2</f>
        <v/>
      </c>
      <c r="S18" s="18">
        <f>(S14+S17)/2</f>
        <v/>
      </c>
      <c r="T18" s="18">
        <f>(T14+T17)/2</f>
        <v/>
      </c>
    </row>
    <row r="19">
      <c r="A19" s="4" t="inlineStr">
        <is>
          <t>Despesa de juros</t>
        </is>
      </c>
      <c r="C19" s="14">
        <f>C18*(C8+$B$9)*C5</f>
        <v/>
      </c>
      <c r="D19" s="14">
        <f>D18*(D8+$B$9)*D5</f>
        <v/>
      </c>
      <c r="E19" s="14">
        <f>E18*(E8+$B$9)*E5</f>
        <v/>
      </c>
      <c r="F19" s="14">
        <f>F18*(F8+$B$9)*F5</f>
        <v/>
      </c>
      <c r="G19" s="14">
        <f>G18*(G8+$B$9)*G5</f>
        <v/>
      </c>
      <c r="H19" s="14">
        <f>H18*(H8+$B$9)*H5</f>
        <v/>
      </c>
      <c r="I19" s="14">
        <f>I18*(I8+$B$9)*I5</f>
        <v/>
      </c>
      <c r="J19" s="14">
        <f>J18*(J8+$B$9)*J5</f>
        <v/>
      </c>
      <c r="K19" s="14">
        <f>K18*(K8+$B$9)*K5</f>
        <v/>
      </c>
      <c r="L19" s="14">
        <f>L18*(L8+$B$9)*L5</f>
        <v/>
      </c>
      <c r="M19" s="14">
        <f>M18*(M8+$B$9)*M5</f>
        <v/>
      </c>
      <c r="N19" s="14">
        <f>N18*(N8+$B$9)*N5</f>
        <v/>
      </c>
      <c r="O19" s="14">
        <f>O18*(O8+$B$9)*O5</f>
        <v/>
      </c>
      <c r="P19" s="14">
        <f>P18*(P8+$B$9)*P5</f>
        <v/>
      </c>
      <c r="Q19" s="14">
        <f>Q18*(Q8+$B$9)*Q5</f>
        <v/>
      </c>
      <c r="R19" s="14">
        <f>R18*(R8+$B$9)*R5</f>
        <v/>
      </c>
      <c r="S19" s="14">
        <f>S18*(S8+$B$9)*S5</f>
        <v/>
      </c>
      <c r="T19" s="14">
        <f>T18*(T8+$B$9)*T5</f>
        <v/>
      </c>
    </row>
    <row r="21">
      <c r="A21" s="10" t="inlineStr">
        <is>
          <t>3. OUTRAS DÍVIDAS  (bancos / FX / capital de giro — premissa: rolagem)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4" t="inlineStr">
        <is>
          <t>Saldo inicial</t>
        </is>
      </c>
      <c r="C22" s="14">
        <f>B25</f>
        <v/>
      </c>
      <c r="D22" s="14">
        <f>C25</f>
        <v/>
      </c>
      <c r="E22" s="14">
        <f>D25</f>
        <v/>
      </c>
      <c r="F22" s="14">
        <f>E25</f>
        <v/>
      </c>
      <c r="G22" s="14">
        <f>F25</f>
        <v/>
      </c>
      <c r="H22" s="14">
        <f>G25</f>
        <v/>
      </c>
      <c r="I22" s="14">
        <f>H25</f>
        <v/>
      </c>
      <c r="J22" s="14">
        <f>I25</f>
        <v/>
      </c>
      <c r="K22" s="14">
        <f>J25</f>
        <v/>
      </c>
      <c r="L22" s="14">
        <f>K25</f>
        <v/>
      </c>
      <c r="M22" s="14">
        <f>L25</f>
        <v/>
      </c>
      <c r="N22" s="14">
        <f>M25</f>
        <v/>
      </c>
      <c r="O22" s="14">
        <f>N25</f>
        <v/>
      </c>
      <c r="P22" s="14">
        <f>O25</f>
        <v/>
      </c>
      <c r="Q22" s="14">
        <f>P25</f>
        <v/>
      </c>
      <c r="R22" s="14">
        <f>Q25</f>
        <v/>
      </c>
      <c r="S22" s="14">
        <f>R25</f>
        <v/>
      </c>
      <c r="T22" s="14">
        <f>S25</f>
        <v/>
      </c>
    </row>
    <row r="23">
      <c r="A23" s="4" t="inlineStr">
        <is>
          <t>(+) Captações</t>
        </is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</row>
    <row r="24">
      <c r="A24" s="4" t="inlineStr">
        <is>
          <t>(–) Amortizações</t>
        </is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</row>
    <row r="25">
      <c r="A25" s="3">
        <f> Saldo final</f>
        <v/>
      </c>
      <c r="B25" s="16" t="n">
        <v>231.3</v>
      </c>
      <c r="C25" s="17">
        <f>C22+C23-C24</f>
        <v/>
      </c>
      <c r="D25" s="17">
        <f>D22+D23-D24</f>
        <v/>
      </c>
      <c r="E25" s="17">
        <f>E22+E23-E24</f>
        <v/>
      </c>
      <c r="F25" s="17">
        <f>F22+F23-F24</f>
        <v/>
      </c>
      <c r="G25" s="17">
        <f>G22+G23-G24</f>
        <v/>
      </c>
      <c r="H25" s="17">
        <f>H22+H23-H24</f>
        <v/>
      </c>
      <c r="I25" s="17">
        <f>I22+I23-I24</f>
        <v/>
      </c>
      <c r="J25" s="17">
        <f>J22+J23-J24</f>
        <v/>
      </c>
      <c r="K25" s="17">
        <f>K22+K23-K24</f>
        <v/>
      </c>
      <c r="L25" s="17">
        <f>L22+L23-L24</f>
        <v/>
      </c>
      <c r="M25" s="17">
        <f>M22+M23-M24</f>
        <v/>
      </c>
      <c r="N25" s="17">
        <f>N22+N23-N24</f>
        <v/>
      </c>
      <c r="O25" s="17">
        <f>O22+O23-O24</f>
        <v/>
      </c>
      <c r="P25" s="17">
        <f>P22+P23-P24</f>
        <v/>
      </c>
      <c r="Q25" s="17">
        <f>Q22+Q23-Q24</f>
        <v/>
      </c>
      <c r="R25" s="17">
        <f>R22+R23-R24</f>
        <v/>
      </c>
      <c r="S25" s="17">
        <f>S22+S23-S24</f>
        <v/>
      </c>
      <c r="T25" s="17">
        <f>T22+T23-T24</f>
        <v/>
      </c>
    </row>
    <row r="26">
      <c r="A26" s="5" t="inlineStr">
        <is>
          <t>Saldo médio</t>
        </is>
      </c>
      <c r="C26" s="18">
        <f>(C22+C25)/2</f>
        <v/>
      </c>
      <c r="D26" s="18">
        <f>(D22+D25)/2</f>
        <v/>
      </c>
      <c r="E26" s="18">
        <f>(E22+E25)/2</f>
        <v/>
      </c>
      <c r="F26" s="18">
        <f>(F22+F25)/2</f>
        <v/>
      </c>
      <c r="G26" s="18">
        <f>(G22+G25)/2</f>
        <v/>
      </c>
      <c r="H26" s="18">
        <f>(H22+H25)/2</f>
        <v/>
      </c>
      <c r="I26" s="18">
        <f>(I22+I25)/2</f>
        <v/>
      </c>
      <c r="J26" s="18">
        <f>(J22+J25)/2</f>
        <v/>
      </c>
      <c r="K26" s="18">
        <f>(K22+K25)/2</f>
        <v/>
      </c>
      <c r="L26" s="18">
        <f>(L22+L25)/2</f>
        <v/>
      </c>
      <c r="M26" s="18">
        <f>(M22+M25)/2</f>
        <v/>
      </c>
      <c r="N26" s="18">
        <f>(N22+N25)/2</f>
        <v/>
      </c>
      <c r="O26" s="18">
        <f>(O22+O25)/2</f>
        <v/>
      </c>
      <c r="P26" s="18">
        <f>(P22+P25)/2</f>
        <v/>
      </c>
      <c r="Q26" s="18">
        <f>(Q22+Q25)/2</f>
        <v/>
      </c>
      <c r="R26" s="18">
        <f>(R22+R25)/2</f>
        <v/>
      </c>
      <c r="S26" s="18">
        <f>(S22+S25)/2</f>
        <v/>
      </c>
      <c r="T26" s="18">
        <f>(T22+T25)/2</f>
        <v/>
      </c>
    </row>
    <row r="27">
      <c r="A27" s="4" t="inlineStr">
        <is>
          <t>Despesa de juros</t>
        </is>
      </c>
      <c r="C27" s="14">
        <f>C26*(C8+$B$10)*C5</f>
        <v/>
      </c>
      <c r="D27" s="14">
        <f>D26*(D8+$B$10)*D5</f>
        <v/>
      </c>
      <c r="E27" s="14">
        <f>E26*(E8+$B$10)*E5</f>
        <v/>
      </c>
      <c r="F27" s="14">
        <f>F26*(F8+$B$10)*F5</f>
        <v/>
      </c>
      <c r="G27" s="14">
        <f>G26*(G8+$B$10)*G5</f>
        <v/>
      </c>
      <c r="H27" s="14">
        <f>H26*(H8+$B$10)*H5</f>
        <v/>
      </c>
      <c r="I27" s="14">
        <f>I26*(I8+$B$10)*I5</f>
        <v/>
      </c>
      <c r="J27" s="14">
        <f>J26*(J8+$B$10)*J5</f>
        <v/>
      </c>
      <c r="K27" s="14">
        <f>K26*(K8+$B$10)*K5</f>
        <v/>
      </c>
      <c r="L27" s="14">
        <f>L26*(L8+$B$10)*L5</f>
        <v/>
      </c>
      <c r="M27" s="14">
        <f>M26*(M8+$B$10)*M5</f>
        <v/>
      </c>
      <c r="N27" s="14">
        <f>N26*(N8+$B$10)*N5</f>
        <v/>
      </c>
      <c r="O27" s="14">
        <f>O26*(O8+$B$10)*O5</f>
        <v/>
      </c>
      <c r="P27" s="14">
        <f>P26*(P8+$B$10)*P5</f>
        <v/>
      </c>
      <c r="Q27" s="14">
        <f>Q26*(Q8+$B$10)*Q5</f>
        <v/>
      </c>
      <c r="R27" s="14">
        <f>R26*(R8+$B$10)*R5</f>
        <v/>
      </c>
      <c r="S27" s="14">
        <f>S26*(S8+$B$10)*S5</f>
        <v/>
      </c>
      <c r="T27" s="14">
        <f>T26*(T8+$B$10)*T5</f>
        <v/>
      </c>
    </row>
    <row r="29">
      <c r="A29" s="10" t="inlineStr">
        <is>
          <t>4. DÍVIDA CONSOLIDADA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A30" s="3" t="inlineStr">
        <is>
          <t>Dívida bruta (fim do período)</t>
        </is>
      </c>
      <c r="B30" s="16">
        <f>B17+B25</f>
        <v/>
      </c>
      <c r="C30" s="17">
        <f>C17+C25</f>
        <v/>
      </c>
      <c r="D30" s="17">
        <f>D17+D25</f>
        <v/>
      </c>
      <c r="E30" s="17">
        <f>E17+E25</f>
        <v/>
      </c>
      <c r="F30" s="17">
        <f>F17+F25</f>
        <v/>
      </c>
      <c r="G30" s="17">
        <f>G17+G25</f>
        <v/>
      </c>
      <c r="H30" s="17">
        <f>H17+H25</f>
        <v/>
      </c>
      <c r="I30" s="17">
        <f>I17+I25</f>
        <v/>
      </c>
      <c r="J30" s="17">
        <f>J17+J25</f>
        <v/>
      </c>
      <c r="K30" s="17">
        <f>K17+K25</f>
        <v/>
      </c>
      <c r="L30" s="17">
        <f>L17+L25</f>
        <v/>
      </c>
      <c r="M30" s="17">
        <f>M17+M25</f>
        <v/>
      </c>
      <c r="N30" s="17">
        <f>N17+N25</f>
        <v/>
      </c>
      <c r="O30" s="17">
        <f>O17+O25</f>
        <v/>
      </c>
      <c r="P30" s="17">
        <f>P17+P25</f>
        <v/>
      </c>
      <c r="Q30" s="17">
        <f>Q17+Q25</f>
        <v/>
      </c>
      <c r="R30" s="17">
        <f>R17+R25</f>
        <v/>
      </c>
      <c r="S30" s="17">
        <f>S17+S25</f>
        <v/>
      </c>
      <c r="T30" s="17">
        <f>T17+T25</f>
        <v/>
      </c>
    </row>
    <row r="31">
      <c r="A31" s="3" t="inlineStr">
        <is>
          <t>Despesa de juros total (dívida)</t>
        </is>
      </c>
      <c r="C31" s="17">
        <f>C19+C27</f>
        <v/>
      </c>
      <c r="D31" s="17">
        <f>D19+D27</f>
        <v/>
      </c>
      <c r="E31" s="17">
        <f>E19+E27</f>
        <v/>
      </c>
      <c r="F31" s="17">
        <f>F19+F27</f>
        <v/>
      </c>
      <c r="G31" s="17">
        <f>G19+G27</f>
        <v/>
      </c>
      <c r="H31" s="17">
        <f>H19+H27</f>
        <v/>
      </c>
      <c r="I31" s="17">
        <f>I19+I27</f>
        <v/>
      </c>
      <c r="J31" s="17">
        <f>J19+J27</f>
        <v/>
      </c>
      <c r="K31" s="17">
        <f>K19+K27</f>
        <v/>
      </c>
      <c r="L31" s="17">
        <f>L19+L27</f>
        <v/>
      </c>
      <c r="M31" s="17">
        <f>M19+M27</f>
        <v/>
      </c>
      <c r="N31" s="17">
        <f>N19+N27</f>
        <v/>
      </c>
      <c r="O31" s="17">
        <f>O19+O27</f>
        <v/>
      </c>
      <c r="P31" s="17">
        <f>P19+P27</f>
        <v/>
      </c>
      <c r="Q31" s="17">
        <f>Q19+Q27</f>
        <v/>
      </c>
      <c r="R31" s="17">
        <f>R19+R27</f>
        <v/>
      </c>
      <c r="S31" s="17">
        <f>S19+S27</f>
        <v/>
      </c>
      <c r="T31" s="17">
        <f>T19+T27</f>
        <v/>
      </c>
    </row>
    <row r="33">
      <c r="A33" s="10" t="inlineStr">
        <is>
          <t>5. CAIXA E DÍVIDA LÍQUIDA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4">
      <c r="A34" s="4" t="inlineStr">
        <is>
          <t>Caixa inicial</t>
        </is>
      </c>
      <c r="D34" s="14">
        <f>C40</f>
        <v/>
      </c>
      <c r="E34" s="14">
        <f>D40</f>
        <v/>
      </c>
      <c r="F34" s="14">
        <f>E40</f>
        <v/>
      </c>
      <c r="G34" s="14">
        <f>F40</f>
        <v/>
      </c>
      <c r="H34" s="14">
        <f>G40</f>
        <v/>
      </c>
      <c r="I34" s="14">
        <f>H40</f>
        <v/>
      </c>
      <c r="J34" s="14">
        <f>I40</f>
        <v/>
      </c>
      <c r="K34" s="14">
        <f>J40</f>
        <v/>
      </c>
      <c r="L34" s="14">
        <f>K40</f>
        <v/>
      </c>
      <c r="M34" s="14">
        <f>L40</f>
        <v/>
      </c>
      <c r="N34" s="14">
        <f>M40</f>
        <v/>
      </c>
      <c r="O34" s="14">
        <f>N40</f>
        <v/>
      </c>
      <c r="P34" s="14">
        <f>O40</f>
        <v/>
      </c>
      <c r="Q34" s="14">
        <f>P40</f>
        <v/>
      </c>
      <c r="R34" s="14">
        <f>Q40</f>
        <v/>
      </c>
      <c r="S34" s="14">
        <f>R40</f>
        <v/>
      </c>
      <c r="T34" s="14">
        <f>S40</f>
        <v/>
      </c>
    </row>
    <row r="35">
      <c r="A35" s="4" t="inlineStr">
        <is>
          <t>(+) FCF livre pré-financiamento (LINK do seu modelo)</t>
        </is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</row>
    <row r="36">
      <c r="A36" s="4" t="inlineStr">
        <is>
          <t>(–) Dividendos / JCP (input)</t>
        </is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</row>
    <row r="37">
      <c r="A37" s="5" t="inlineStr">
        <is>
          <t>(–) Juros pagos</t>
        </is>
      </c>
      <c r="C37" s="18">
        <f>C31</f>
        <v/>
      </c>
      <c r="D37" s="18">
        <f>D31</f>
        <v/>
      </c>
      <c r="E37" s="18">
        <f>E31</f>
        <v/>
      </c>
      <c r="F37" s="18">
        <f>F31</f>
        <v/>
      </c>
      <c r="G37" s="18">
        <f>G31</f>
        <v/>
      </c>
      <c r="H37" s="18">
        <f>H31</f>
        <v/>
      </c>
      <c r="I37" s="18">
        <f>I31</f>
        <v/>
      </c>
      <c r="J37" s="18">
        <f>J31</f>
        <v/>
      </c>
      <c r="K37" s="18">
        <f>K31</f>
        <v/>
      </c>
      <c r="L37" s="18">
        <f>L31</f>
        <v/>
      </c>
      <c r="M37" s="18">
        <f>M31</f>
        <v/>
      </c>
      <c r="N37" s="18">
        <f>N31</f>
        <v/>
      </c>
      <c r="O37" s="18">
        <f>O31</f>
        <v/>
      </c>
      <c r="P37" s="18">
        <f>P31</f>
        <v/>
      </c>
      <c r="Q37" s="18">
        <f>Q31</f>
        <v/>
      </c>
      <c r="R37" s="18">
        <f>R31</f>
        <v/>
      </c>
      <c r="S37" s="18">
        <f>S31</f>
        <v/>
      </c>
      <c r="T37" s="18">
        <f>T31</f>
        <v/>
      </c>
    </row>
    <row r="38">
      <c r="A38" s="5" t="inlineStr">
        <is>
          <t>(–) Amortizações totais</t>
        </is>
      </c>
      <c r="C38" s="18">
        <f>C16+C24</f>
        <v/>
      </c>
      <c r="D38" s="18">
        <f>D16+D24</f>
        <v/>
      </c>
      <c r="E38" s="18">
        <f>E16+E24</f>
        <v/>
      </c>
      <c r="F38" s="18">
        <f>F16+F24</f>
        <v/>
      </c>
      <c r="G38" s="18">
        <f>G16+G24</f>
        <v/>
      </c>
      <c r="H38" s="18">
        <f>H16+H24</f>
        <v/>
      </c>
      <c r="I38" s="18">
        <f>I16+I24</f>
        <v/>
      </c>
      <c r="J38" s="18">
        <f>J16+J24</f>
        <v/>
      </c>
      <c r="K38" s="18">
        <f>K16+K24</f>
        <v/>
      </c>
      <c r="L38" s="18">
        <f>L16+L24</f>
        <v/>
      </c>
      <c r="M38" s="18">
        <f>M16+M24</f>
        <v/>
      </c>
      <c r="N38" s="18">
        <f>N16+N24</f>
        <v/>
      </c>
      <c r="O38" s="18">
        <f>O16+O24</f>
        <v/>
      </c>
      <c r="P38" s="18">
        <f>P16+P24</f>
        <v/>
      </c>
      <c r="Q38" s="18">
        <f>Q16+Q24</f>
        <v/>
      </c>
      <c r="R38" s="18">
        <f>R16+R24</f>
        <v/>
      </c>
      <c r="S38" s="18">
        <f>S16+S24</f>
        <v/>
      </c>
      <c r="T38" s="18">
        <f>T16+T24</f>
        <v/>
      </c>
    </row>
    <row r="39">
      <c r="A39" s="5" t="inlineStr">
        <is>
          <t>(+) Captações totais</t>
        </is>
      </c>
      <c r="C39" s="18">
        <f>C15+C23</f>
        <v/>
      </c>
      <c r="D39" s="18">
        <f>D15+D23</f>
        <v/>
      </c>
      <c r="E39" s="18">
        <f>E15+E23</f>
        <v/>
      </c>
      <c r="F39" s="18">
        <f>F15+F23</f>
        <v/>
      </c>
      <c r="G39" s="18">
        <f>G15+G23</f>
        <v/>
      </c>
      <c r="H39" s="18">
        <f>H15+H23</f>
        <v/>
      </c>
      <c r="I39" s="18">
        <f>I15+I23</f>
        <v/>
      </c>
      <c r="J39" s="18">
        <f>J15+J23</f>
        <v/>
      </c>
      <c r="K39" s="18">
        <f>K15+K23</f>
        <v/>
      </c>
      <c r="L39" s="18">
        <f>L15+L23</f>
        <v/>
      </c>
      <c r="M39" s="18">
        <f>M15+M23</f>
        <v/>
      </c>
      <c r="N39" s="18">
        <f>N15+N23</f>
        <v/>
      </c>
      <c r="O39" s="18">
        <f>O15+O23</f>
        <v/>
      </c>
      <c r="P39" s="18">
        <f>P15+P23</f>
        <v/>
      </c>
      <c r="Q39" s="18">
        <f>Q15+Q23</f>
        <v/>
      </c>
      <c r="R39" s="18">
        <f>R15+R23</f>
        <v/>
      </c>
      <c r="S39" s="18">
        <f>S15+S23</f>
        <v/>
      </c>
      <c r="T39" s="18">
        <f>T15+T23</f>
        <v/>
      </c>
    </row>
    <row r="40">
      <c r="A40" s="3">
        <f> Caixa e equivalentes (fim)</f>
        <v/>
      </c>
      <c r="B40" s="16" t="n">
        <v>398.6</v>
      </c>
      <c r="C40" s="16" t="n">
        <v>284.7</v>
      </c>
      <c r="D40" s="17">
        <f>D34+D35-D36-D37-D38+D39</f>
        <v/>
      </c>
      <c r="E40" s="17">
        <f>E34+E35-E36-E37-E38+E39</f>
        <v/>
      </c>
      <c r="F40" s="17">
        <f>F34+F35-F36-F37-F38+F39</f>
        <v/>
      </c>
      <c r="G40" s="17">
        <f>G34+G35-G36-G37-G38+G39</f>
        <v/>
      </c>
      <c r="H40" s="17">
        <f>H34+H35-H36-H37-H38+H39</f>
        <v/>
      </c>
      <c r="I40" s="17">
        <f>I34+I35-I36-I37-I38+I39</f>
        <v/>
      </c>
      <c r="J40" s="17">
        <f>J34+J35-J36-J37-J38+J39</f>
        <v/>
      </c>
      <c r="K40" s="17">
        <f>K34+K35-K36-K37-K38+K39</f>
        <v/>
      </c>
      <c r="L40" s="17">
        <f>L34+L35-L36-L37-L38+L39</f>
        <v/>
      </c>
      <c r="M40" s="17">
        <f>M34+M35-M36-M37-M38+M39</f>
        <v/>
      </c>
      <c r="N40" s="17">
        <f>N34+N35-N36-N37-N38+N39</f>
        <v/>
      </c>
      <c r="O40" s="17">
        <f>O34+O35-O36-O37-O38+O39</f>
        <v/>
      </c>
      <c r="P40" s="17">
        <f>P34+P35-P36-P37-P38+P39</f>
        <v/>
      </c>
      <c r="Q40" s="17">
        <f>Q34+Q35-Q36-Q37-Q38+Q39</f>
        <v/>
      </c>
      <c r="R40" s="17">
        <f>R34+R35-R36-R37-R38+R39</f>
        <v/>
      </c>
      <c r="S40" s="17">
        <f>S34+S35-S36-S37-S38+S39</f>
        <v/>
      </c>
      <c r="T40" s="17">
        <f>T34+T35-T36-T37-T38+T39</f>
        <v/>
      </c>
    </row>
    <row r="41">
      <c r="A41" s="3" t="inlineStr">
        <is>
          <t>Dívida líquida</t>
        </is>
      </c>
      <c r="B41" s="16">
        <f>B30-B40</f>
        <v/>
      </c>
      <c r="C41" s="16">
        <f>C30-C40</f>
        <v/>
      </c>
      <c r="D41" s="17">
        <f>D30-D40</f>
        <v/>
      </c>
      <c r="E41" s="17">
        <f>E30-E40</f>
        <v/>
      </c>
      <c r="F41" s="17">
        <f>F30-F40</f>
        <v/>
      </c>
      <c r="G41" s="17">
        <f>G30-G40</f>
        <v/>
      </c>
      <c r="H41" s="17">
        <f>H30-H40</f>
        <v/>
      </c>
      <c r="I41" s="17">
        <f>I30-I40</f>
        <v/>
      </c>
      <c r="J41" s="17">
        <f>J30-J40</f>
        <v/>
      </c>
      <c r="K41" s="17">
        <f>K30-K40</f>
        <v/>
      </c>
      <c r="L41" s="17">
        <f>L30-L40</f>
        <v/>
      </c>
      <c r="M41" s="17">
        <f>M30-M40</f>
        <v/>
      </c>
      <c r="N41" s="17">
        <f>N30-N40</f>
        <v/>
      </c>
      <c r="O41" s="17">
        <f>O30-O40</f>
        <v/>
      </c>
      <c r="P41" s="17">
        <f>P30-P40</f>
        <v/>
      </c>
      <c r="Q41" s="17">
        <f>Q30-Q40</f>
        <v/>
      </c>
      <c r="R41" s="17">
        <f>R30-R40</f>
        <v/>
      </c>
      <c r="S41" s="17">
        <f>S30-S40</f>
        <v/>
      </c>
      <c r="T41" s="17">
        <f>T30-T40</f>
        <v/>
      </c>
    </row>
    <row r="43">
      <c r="A43" s="10" t="inlineStr">
        <is>
          <t>6. INTERFACE P/ VALUATION  (referencie estas linhas no seu modelo)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>
      <c r="A44" s="3" t="inlineStr">
        <is>
          <t>Dívida bruta (fim)</t>
        </is>
      </c>
      <c r="B44" s="19">
        <f>B30</f>
        <v/>
      </c>
      <c r="C44" s="19">
        <f>C30</f>
        <v/>
      </c>
      <c r="D44" s="19">
        <f>D30</f>
        <v/>
      </c>
      <c r="E44" s="19">
        <f>E30</f>
        <v/>
      </c>
      <c r="F44" s="19">
        <f>F30</f>
        <v/>
      </c>
      <c r="G44" s="19">
        <f>G30</f>
        <v/>
      </c>
      <c r="H44" s="19">
        <f>H30</f>
        <v/>
      </c>
      <c r="I44" s="19">
        <f>I30</f>
        <v/>
      </c>
      <c r="J44" s="19">
        <f>J30</f>
        <v/>
      </c>
      <c r="K44" s="19">
        <f>K30</f>
        <v/>
      </c>
      <c r="L44" s="19">
        <f>L30</f>
        <v/>
      </c>
      <c r="M44" s="19">
        <f>M30</f>
        <v/>
      </c>
      <c r="N44" s="19">
        <f>N30</f>
        <v/>
      </c>
      <c r="O44" s="19">
        <f>O30</f>
        <v/>
      </c>
      <c r="P44" s="19">
        <f>P30</f>
        <v/>
      </c>
      <c r="Q44" s="19">
        <f>Q30</f>
        <v/>
      </c>
      <c r="R44" s="19">
        <f>R30</f>
        <v/>
      </c>
      <c r="S44" s="19">
        <f>S30</f>
        <v/>
      </c>
      <c r="T44" s="19">
        <f>T30</f>
        <v/>
      </c>
    </row>
    <row r="45">
      <c r="A45" s="3" t="inlineStr">
        <is>
          <t>Caixa e equivalentes (fim)</t>
        </is>
      </c>
      <c r="B45" s="19">
        <f>B40</f>
        <v/>
      </c>
      <c r="C45" s="19">
        <f>C40</f>
        <v/>
      </c>
      <c r="D45" s="19">
        <f>D40</f>
        <v/>
      </c>
      <c r="E45" s="19">
        <f>E40</f>
        <v/>
      </c>
      <c r="F45" s="19">
        <f>F40</f>
        <v/>
      </c>
      <c r="G45" s="19">
        <f>G40</f>
        <v/>
      </c>
      <c r="H45" s="19">
        <f>H40</f>
        <v/>
      </c>
      <c r="I45" s="19">
        <f>I40</f>
        <v/>
      </c>
      <c r="J45" s="19">
        <f>J40</f>
        <v/>
      </c>
      <c r="K45" s="19">
        <f>K40</f>
        <v/>
      </c>
      <c r="L45" s="19">
        <f>L40</f>
        <v/>
      </c>
      <c r="M45" s="19">
        <f>M40</f>
        <v/>
      </c>
      <c r="N45" s="19">
        <f>N40</f>
        <v/>
      </c>
      <c r="O45" s="19">
        <f>O40</f>
        <v/>
      </c>
      <c r="P45" s="19">
        <f>P40</f>
        <v/>
      </c>
      <c r="Q45" s="19">
        <f>Q40</f>
        <v/>
      </c>
      <c r="R45" s="19">
        <f>R40</f>
        <v/>
      </c>
      <c r="S45" s="19">
        <f>S40</f>
        <v/>
      </c>
      <c r="T45" s="19">
        <f>T40</f>
        <v/>
      </c>
    </row>
    <row r="46">
      <c r="A46" s="3" t="inlineStr">
        <is>
          <t>Dívida líquida (fim)</t>
        </is>
      </c>
      <c r="B46" s="19">
        <f>B41</f>
        <v/>
      </c>
      <c r="C46" s="19">
        <f>C41</f>
        <v/>
      </c>
      <c r="D46" s="19">
        <f>D41</f>
        <v/>
      </c>
      <c r="E46" s="19">
        <f>E41</f>
        <v/>
      </c>
      <c r="F46" s="19">
        <f>F41</f>
        <v/>
      </c>
      <c r="G46" s="19">
        <f>G41</f>
        <v/>
      </c>
      <c r="H46" s="19">
        <f>H41</f>
        <v/>
      </c>
      <c r="I46" s="19">
        <f>I41</f>
        <v/>
      </c>
      <c r="J46" s="19">
        <f>J41</f>
        <v/>
      </c>
      <c r="K46" s="19">
        <f>K41</f>
        <v/>
      </c>
      <c r="L46" s="19">
        <f>L41</f>
        <v/>
      </c>
      <c r="M46" s="19">
        <f>M41</f>
        <v/>
      </c>
      <c r="N46" s="19">
        <f>N41</f>
        <v/>
      </c>
      <c r="O46" s="19">
        <f>O41</f>
        <v/>
      </c>
      <c r="P46" s="19">
        <f>P41</f>
        <v/>
      </c>
      <c r="Q46" s="19">
        <f>Q41</f>
        <v/>
      </c>
      <c r="R46" s="19">
        <f>R41</f>
        <v/>
      </c>
      <c r="S46" s="19">
        <f>S41</f>
        <v/>
      </c>
      <c r="T46" s="19">
        <f>T41</f>
        <v/>
      </c>
    </row>
    <row r="47">
      <c r="A47" s="4" t="inlineStr">
        <is>
          <t>Amortizações (saída — financiamento)</t>
        </is>
      </c>
      <c r="C47" s="20">
        <f>C16+C24</f>
        <v/>
      </c>
      <c r="D47" s="20">
        <f>D16+D24</f>
        <v/>
      </c>
      <c r="E47" s="20">
        <f>E16+E24</f>
        <v/>
      </c>
      <c r="F47" s="20">
        <f>F16+F24</f>
        <v/>
      </c>
      <c r="G47" s="20">
        <f>G16+G24</f>
        <v/>
      </c>
      <c r="H47" s="20">
        <f>H16+H24</f>
        <v/>
      </c>
      <c r="I47" s="20">
        <f>I16+I24</f>
        <v/>
      </c>
      <c r="J47" s="20">
        <f>J16+J24</f>
        <v/>
      </c>
      <c r="K47" s="20">
        <f>K16+K24</f>
        <v/>
      </c>
      <c r="L47" s="20">
        <f>L16+L24</f>
        <v/>
      </c>
      <c r="M47" s="20">
        <f>M16+M24</f>
        <v/>
      </c>
      <c r="N47" s="20">
        <f>N16+N24</f>
        <v/>
      </c>
      <c r="O47" s="20">
        <f>O16+O24</f>
        <v/>
      </c>
      <c r="P47" s="20">
        <f>P16+P24</f>
        <v/>
      </c>
      <c r="Q47" s="20">
        <f>Q16+Q24</f>
        <v/>
      </c>
      <c r="R47" s="20">
        <f>R16+R24</f>
        <v/>
      </c>
      <c r="S47" s="20">
        <f>S16+S24</f>
        <v/>
      </c>
      <c r="T47" s="20">
        <f>T16+T24</f>
        <v/>
      </c>
    </row>
    <row r="48">
      <c r="A48" s="4" t="inlineStr">
        <is>
          <t>Captações (entrada — financiamento)</t>
        </is>
      </c>
      <c r="C48" s="20">
        <f>C15+C23</f>
        <v/>
      </c>
      <c r="D48" s="20">
        <f>D15+D23</f>
        <v/>
      </c>
      <c r="E48" s="20">
        <f>E15+E23</f>
        <v/>
      </c>
      <c r="F48" s="20">
        <f>F15+F23</f>
        <v/>
      </c>
      <c r="G48" s="20">
        <f>G15+G23</f>
        <v/>
      </c>
      <c r="H48" s="20">
        <f>H15+H23</f>
        <v/>
      </c>
      <c r="I48" s="20">
        <f>I15+I23</f>
        <v/>
      </c>
      <c r="J48" s="20">
        <f>J15+J23</f>
        <v/>
      </c>
      <c r="K48" s="20">
        <f>K15+K23</f>
        <v/>
      </c>
      <c r="L48" s="20">
        <f>L15+L23</f>
        <v/>
      </c>
      <c r="M48" s="20">
        <f>M15+M23</f>
        <v/>
      </c>
      <c r="N48" s="20">
        <f>N15+N23</f>
        <v/>
      </c>
      <c r="O48" s="20">
        <f>O15+O23</f>
        <v/>
      </c>
      <c r="P48" s="20">
        <f>P15+P23</f>
        <v/>
      </c>
      <c r="Q48" s="20">
        <f>Q15+Q23</f>
        <v/>
      </c>
      <c r="R48" s="20">
        <f>R15+R23</f>
        <v/>
      </c>
      <c r="S48" s="20">
        <f>S15+S23</f>
        <v/>
      </c>
      <c r="T48" s="20">
        <f>T15+T23</f>
        <v/>
      </c>
    </row>
    <row r="49">
      <c r="A49" s="3" t="inlineStr">
        <is>
          <t>Despesa de juros (P&amp;L, competência)</t>
        </is>
      </c>
      <c r="C49" s="19">
        <f>C31</f>
        <v/>
      </c>
      <c r="D49" s="19">
        <f>D31</f>
        <v/>
      </c>
      <c r="E49" s="19">
        <f>E31</f>
        <v/>
      </c>
      <c r="F49" s="19">
        <f>F31</f>
        <v/>
      </c>
      <c r="G49" s="19">
        <f>G31</f>
        <v/>
      </c>
      <c r="H49" s="19">
        <f>H31</f>
        <v/>
      </c>
      <c r="I49" s="19">
        <f>I31</f>
        <v/>
      </c>
      <c r="J49" s="19">
        <f>J31</f>
        <v/>
      </c>
      <c r="K49" s="19">
        <f>K31</f>
        <v/>
      </c>
      <c r="L49" s="19">
        <f>L31</f>
        <v/>
      </c>
      <c r="M49" s="19">
        <f>M31</f>
        <v/>
      </c>
      <c r="N49" s="19">
        <f>N31</f>
        <v/>
      </c>
      <c r="O49" s="19">
        <f>O31</f>
        <v/>
      </c>
      <c r="P49" s="19">
        <f>P31</f>
        <v/>
      </c>
      <c r="Q49" s="19">
        <f>Q31</f>
        <v/>
      </c>
      <c r="R49" s="19">
        <f>R31</f>
        <v/>
      </c>
      <c r="S49" s="19">
        <f>S31</f>
        <v/>
      </c>
      <c r="T49" s="19">
        <f>T31</f>
        <v/>
      </c>
    </row>
    <row r="50">
      <c r="A50" s="4" t="inlineStr">
        <is>
          <t>Juros após IR</t>
        </is>
      </c>
      <c r="C50" s="20">
        <f>C31*(1-$B$11)</f>
        <v/>
      </c>
      <c r="D50" s="20">
        <f>D31*(1-$B$11)</f>
        <v/>
      </c>
      <c r="E50" s="20">
        <f>E31*(1-$B$11)</f>
        <v/>
      </c>
      <c r="F50" s="20">
        <f>F31*(1-$B$11)</f>
        <v/>
      </c>
      <c r="G50" s="20">
        <f>G31*(1-$B$11)</f>
        <v/>
      </c>
      <c r="H50" s="20">
        <f>H31*(1-$B$11)</f>
        <v/>
      </c>
      <c r="I50" s="20">
        <f>I31*(1-$B$11)</f>
        <v/>
      </c>
      <c r="J50" s="20">
        <f>J31*(1-$B$11)</f>
        <v/>
      </c>
      <c r="K50" s="20">
        <f>K31*(1-$B$11)</f>
        <v/>
      </c>
      <c r="L50" s="20">
        <f>L31*(1-$B$11)</f>
        <v/>
      </c>
      <c r="M50" s="20">
        <f>M31*(1-$B$11)</f>
        <v/>
      </c>
      <c r="N50" s="20">
        <f>N31*(1-$B$11)</f>
        <v/>
      </c>
      <c r="O50" s="20">
        <f>O31*(1-$B$11)</f>
        <v/>
      </c>
      <c r="P50" s="20">
        <f>P31*(1-$B$11)</f>
        <v/>
      </c>
      <c r="Q50" s="20">
        <f>Q31*(1-$B$11)</f>
        <v/>
      </c>
      <c r="R50" s="20">
        <f>R31*(1-$B$11)</f>
        <v/>
      </c>
      <c r="S50" s="20">
        <f>S31*(1-$B$11)</f>
        <v/>
      </c>
      <c r="T50" s="20">
        <f>T31*(1-$B$11)</f>
        <v/>
      </c>
    </row>
    <row r="51">
      <c r="A51" s="4" t="inlineStr">
        <is>
          <t>Economia fiscal dos juros (tax shield)</t>
        </is>
      </c>
      <c r="C51" s="20">
        <f>C31*$B$11</f>
        <v/>
      </c>
      <c r="D51" s="20">
        <f>D31*$B$11</f>
        <v/>
      </c>
      <c r="E51" s="20">
        <f>E31*$B$11</f>
        <v/>
      </c>
      <c r="F51" s="20">
        <f>F31*$B$11</f>
        <v/>
      </c>
      <c r="G51" s="20">
        <f>G31*$B$11</f>
        <v/>
      </c>
      <c r="H51" s="20">
        <f>H31*$B$11</f>
        <v/>
      </c>
      <c r="I51" s="20">
        <f>I31*$B$11</f>
        <v/>
      </c>
      <c r="J51" s="20">
        <f>J31*$B$11</f>
        <v/>
      </c>
      <c r="K51" s="20">
        <f>K31*$B$11</f>
        <v/>
      </c>
      <c r="L51" s="20">
        <f>L31*$B$11</f>
        <v/>
      </c>
      <c r="M51" s="20">
        <f>M31*$B$11</f>
        <v/>
      </c>
      <c r="N51" s="20">
        <f>N31*$B$11</f>
        <v/>
      </c>
      <c r="O51" s="20">
        <f>O31*$B$11</f>
        <v/>
      </c>
      <c r="P51" s="20">
        <f>P31*$B$11</f>
        <v/>
      </c>
      <c r="Q51" s="20">
        <f>Q31*$B$11</f>
        <v/>
      </c>
      <c r="R51" s="20">
        <f>R31*$B$11</f>
        <v/>
      </c>
      <c r="S51" s="20">
        <f>S31*$B$11</f>
        <v/>
      </c>
      <c r="T51" s="20">
        <f>T31*$B$11</f>
        <v/>
      </c>
    </row>
    <row r="52">
      <c r="A52" s="4" t="inlineStr">
        <is>
          <t>EBITDA LTM (input opcional — link do seu modelo)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</row>
    <row r="53">
      <c r="A53" s="4" t="inlineStr">
        <is>
          <t>Dívida líquida / EBITDA (x)</t>
        </is>
      </c>
      <c r="B53" s="21">
        <f>IFERROR(B46/B52,"")</f>
        <v/>
      </c>
      <c r="C53" s="21">
        <f>IFERROR(C46/C52,"")</f>
        <v/>
      </c>
      <c r="D53" s="21">
        <f>IFERROR(D46/D52,"")</f>
        <v/>
      </c>
      <c r="E53" s="21">
        <f>IFERROR(E46/E52,"")</f>
        <v/>
      </c>
      <c r="F53" s="21">
        <f>IFERROR(F46/F52,"")</f>
        <v/>
      </c>
      <c r="G53" s="21">
        <f>IFERROR(G46/G52,"")</f>
        <v/>
      </c>
      <c r="H53" s="21">
        <f>IFERROR(H46/H52,"")</f>
        <v/>
      </c>
      <c r="I53" s="21">
        <f>IFERROR(I46/I52,"")</f>
        <v/>
      </c>
      <c r="J53" s="21">
        <f>IFERROR(J46/J52,"")</f>
        <v/>
      </c>
      <c r="K53" s="21">
        <f>IFERROR(K46/K52,"")</f>
        <v/>
      </c>
      <c r="L53" s="21">
        <f>IFERROR(L46/L52,"")</f>
        <v/>
      </c>
      <c r="M53" s="21">
        <f>IFERROR(M46/M52,"")</f>
        <v/>
      </c>
      <c r="N53" s="21">
        <f>IFERROR(N46/N52,"")</f>
        <v/>
      </c>
      <c r="O53" s="21">
        <f>IFERROR(O46/O52,"")</f>
        <v/>
      </c>
      <c r="P53" s="21">
        <f>IFERROR(P46/P52,"")</f>
        <v/>
      </c>
      <c r="Q53" s="21">
        <f>IFERROR(Q46/Q52,"")</f>
        <v/>
      </c>
      <c r="R53" s="21">
        <f>IFERROR(R46/R52,"")</f>
        <v/>
      </c>
      <c r="S53" s="21">
        <f>IFERROR(S46/S52,"")</f>
        <v/>
      </c>
      <c r="T53" s="21">
        <f>IFERROR(T46/T52,"")</f>
        <v/>
      </c>
    </row>
    <row r="55">
      <c r="A55" s="5" t="inlineStr">
        <is>
          <t>Nota: juros em regime de competência (proxy p/ caixa). Ligue a linha de FCF livre ao seu modelo para o caixa e a dívida líquida rodarem sozinhos. Preencha as amortizações/captações reais nas células amarelas.</t>
        </is>
      </c>
    </row>
  </sheetData>
  <mergeCells count="1">
    <mergeCell ref="A55:T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2026-07-15T17:56:04Z</dcterms:created>
  <dcterms:modified xsi:type="dcterms:W3CDTF">2026-07-15T17:56:04Z</dcterms:modified>
</cp:coreProperties>
</file>