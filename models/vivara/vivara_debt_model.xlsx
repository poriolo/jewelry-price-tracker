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Modelo_Dívi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(#,##0.0)"/>
    <numFmt numFmtId="165" formatCode="0.00&quot;x&quot;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sz val="10"/>
    </font>
    <font>
      <i val="1"/>
      <color rgb="00808080"/>
      <sz val="8"/>
    </font>
    <font>
      <i val="1"/>
      <color rgb="00595959"/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right"/>
    </xf>
    <xf numFmtId="0" fontId="6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10" fontId="3" fillId="0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4" fontId="2" fillId="5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4" fontId="2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165" fontId="3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>
      <c r="B1" s="1" t="inlineStr">
        <is>
          <t>VIVARA (VIVA3) — Fluxo de Dívida | Módulo acoplável ao valuation</t>
        </is>
      </c>
    </row>
    <row r="2">
      <c r="B2" s="2" t="inlineStr"/>
    </row>
    <row r="3">
      <c r="B3" s="3" t="inlineStr">
        <is>
          <t>O QUE É</t>
        </is>
      </c>
    </row>
    <row r="4">
      <c r="B4" s="4" t="inlineStr">
        <is>
          <t>Cronograma de dívida bruta, despesa de juros e dívida líquida da Vivara, montado</t>
        </is>
      </c>
    </row>
    <row r="5">
      <c r="B5" s="4" t="inlineStr">
        <is>
          <t>como motor independente para você acoplar ao seu modelo de valuation. Periodicidade</t>
        </is>
      </c>
    </row>
    <row r="6">
      <c r="B6" s="4" t="inlineStr">
        <is>
          <t>trimestral do 4T25 (real) até o 4T27E e depois anual (2028E–2030E).</t>
        </is>
      </c>
    </row>
    <row r="7">
      <c r="B7" s="2" t="inlineStr"/>
    </row>
    <row r="8">
      <c r="B8" s="3" t="inlineStr">
        <is>
          <t>COMO ACOPLAR (aba 'Modelo_Dívida')</t>
        </is>
      </c>
    </row>
    <row r="9">
      <c r="B9" s="4" t="inlineStr">
        <is>
          <t>1. Células AMARELAS são premissas/inputs — edite à vontade (CDI, spreads, amortizações,</t>
        </is>
      </c>
    </row>
    <row r="10">
      <c r="B10" s="4" t="inlineStr">
        <is>
          <t xml:space="preserve">   captações, dividendos e o FCF livre que vem do SEU modelo).</t>
        </is>
      </c>
    </row>
    <row r="11">
      <c r="B11" s="4" t="inlineStr">
        <is>
          <t>2. Ligue a linha 'Fluxo de caixa livre pré-financiamento (LINK)' ao FCF do seu modelo;</t>
        </is>
      </c>
    </row>
    <row r="12">
      <c r="B12" s="4" t="inlineStr">
        <is>
          <t xml:space="preserve">   o caixa e a dívida líquida passam a rodar sozinhos.</t>
        </is>
      </c>
    </row>
    <row r="13">
      <c r="B13" s="4" t="inlineStr">
        <is>
          <t>3. Referencie no seu valuation as linhas da seção 6 (VERDES): dívida bruta, dívida líquida,</t>
        </is>
      </c>
    </row>
    <row r="14">
      <c r="B14" s="4" t="inlineStr">
        <is>
          <t xml:space="preserve">   despesa de juros, juros após IR e escudo fiscal.</t>
        </is>
      </c>
    </row>
    <row r="15">
      <c r="B15" s="4" t="inlineStr">
        <is>
          <t>4. Células AZUIS são dados reais reportados (âncoras) — não recalculam.</t>
        </is>
      </c>
    </row>
    <row r="16">
      <c r="B16" s="2" t="inlineStr"/>
    </row>
    <row r="17">
      <c r="B17" s="3" t="inlineStr">
        <is>
          <t>PREMISSAS-CHAVE (reais, pesquisadas)</t>
        </is>
      </c>
    </row>
    <row r="18">
      <c r="B18" s="4" t="inlineStr">
        <is>
          <t>• Debênture VIVA11 (1ª emissão): R$ 300 mi, série única, 27/08/2025→27/08/2030,</t>
        </is>
      </c>
    </row>
    <row r="19">
      <c r="B19" s="4" t="inlineStr">
        <is>
          <t xml:space="preserve">  100% do CDI + 0,70% a.a., juros semestrais; amortização 50% em 2029 e 50% em 2030;</t>
        </is>
      </c>
    </row>
    <row r="20">
      <c r="B20" s="4" t="inlineStr">
        <is>
          <t xml:space="preserve">  recursos usados p/ liquidar CCBs (~R$ 102 mi) — liability management.</t>
        </is>
      </c>
    </row>
    <row r="21">
      <c r="B21" s="4" t="inlineStr">
        <is>
          <t>• 31/12/2025: dívida bruta R$ 531,3 mi | caixa R$ 398,6 mi | dívida líquida R$ 132,6 mi.</t>
        </is>
      </c>
    </row>
    <row r="22">
      <c r="B22" s="4" t="inlineStr">
        <is>
          <t>• 1T26: dívida líquida R$ 246,6 mi | alavancagem 0,3x ND/EBITDA.</t>
        </is>
      </c>
    </row>
    <row r="23">
      <c r="B23" s="2" t="inlineStr"/>
    </row>
    <row r="24">
      <c r="B24" s="3" t="inlineStr">
        <is>
          <t>PREMISSAS ESTIMADAS (ajuste com o ITR quando tiver)</t>
        </is>
      </c>
    </row>
    <row r="25">
      <c r="B25" s="4" t="inlineStr">
        <is>
          <t>• 'Outras dívidas' = dívida bruta 4T25 − debêntures = R$ 231,3 mi (bancos/FX/capital de giro).</t>
        </is>
      </c>
    </row>
    <row r="26">
      <c r="B26" s="4" t="inlineStr">
        <is>
          <t xml:space="preserve">  Modeladas como rolagem (amortização default = 0); preencha o cronograma real na aba.</t>
        </is>
      </c>
    </row>
    <row r="27">
      <c r="B27" s="4" t="inlineStr">
        <is>
          <t>• Spread 'outras dívidas' = CDI + 2,00% a.a. (premissa).</t>
        </is>
      </c>
    </row>
    <row r="28">
      <c r="B28" s="4" t="inlineStr">
        <is>
          <t>• Curva de CDI: ~14,9% (2026) caindo p/ ~10% (2030) — edite na linha CDI.</t>
        </is>
      </c>
    </row>
    <row r="29">
      <c r="B29" s="4" t="inlineStr">
        <is>
          <t>• Caixa 1T26 (R$ 284,7 mi) é derivado p/ fechar a DL reportada de R$ 246,6 mi.</t>
        </is>
      </c>
    </row>
    <row r="30">
      <c r="B30" s="4" t="inlineStr">
        <is>
          <t>• 'Despesa de juros' aqui é só a da dívida financeira; o resultado financeiro reportado</t>
        </is>
      </c>
    </row>
    <row r="31">
      <c r="B31" s="4" t="inlineStr">
        <is>
          <t xml:space="preserve">  (−R$ 15 mi no 1T26) inclui derivativos/MtM e não bate 1:1 com esta linha.</t>
        </is>
      </c>
    </row>
    <row r="32">
      <c r="B32" s="2" t="inlineStr"/>
    </row>
    <row r="33">
      <c r="B33" s="3" t="inlineStr">
        <is>
          <t>FONTES</t>
        </is>
      </c>
    </row>
    <row r="34">
      <c r="B34" s="5" t="inlineStr">
        <is>
          <t>• Release/notícias de resultados 1T26 (Money Times, Nord, Análise de Ações).</t>
        </is>
      </c>
    </row>
    <row r="35">
      <c r="B35" s="5" t="inlineStr">
        <is>
          <t>• Escritura e características VIVA11 (debentures.com.br, Mais Retorno, ANBIMA).</t>
        </is>
      </c>
    </row>
    <row r="36">
      <c r="B36" s="5" t="inlineStr">
        <is>
          <t>• Emissão R$ 300 mi p/ liquidar CCBs (Lex Legal — Lefosse/Mattos Filho).</t>
        </is>
      </c>
    </row>
    <row r="37">
      <c r="B37" s="5" t="inlineStr">
        <is>
          <t>• Dados de dívida bruta/caixa 31/12/2025 (DF 2025 Vivara Participações).</t>
        </is>
      </c>
    </row>
    <row r="38">
      <c r="B38" s="2" t="inlineStr"/>
    </row>
    <row r="39">
      <c r="B39" s="6" t="inlineStr">
        <is>
          <t>Gerado por build_debt_model.py — reexecute p/ regenerar. R$ milhões salvo indicado.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</cols>
  <sheetData>
    <row r="1">
      <c r="A1" s="7" t="inlineStr">
        <is>
          <t>VIVARA (VIVA3) — Fluxo de Dívida (módulo de valuation)</t>
        </is>
      </c>
    </row>
    <row r="2">
      <c r="A2" s="8" t="inlineStr">
        <is>
          <t>R$ milhões, salvo indicado  •  Trimestral 4T25–4T27, anual 2028–2030  •  amarelo=input, azul=real, verde=interface</t>
        </is>
      </c>
    </row>
    <row r="4">
      <c r="A4" s="9" t="inlineStr">
        <is>
          <t>Período</t>
        </is>
      </c>
      <c r="B4" s="9" t="inlineStr">
        <is>
          <t>4T25
(Real)</t>
        </is>
      </c>
      <c r="C4" s="9" t="inlineStr">
        <is>
          <t>1T26
(Real)</t>
        </is>
      </c>
      <c r="D4" s="9" t="inlineStr">
        <is>
          <t>2T26E</t>
        </is>
      </c>
      <c r="E4" s="9" t="inlineStr">
        <is>
          <t>3T26E</t>
        </is>
      </c>
      <c r="F4" s="9" t="inlineStr">
        <is>
          <t>4T26E</t>
        </is>
      </c>
      <c r="G4" s="9" t="inlineStr">
        <is>
          <t>1T27E</t>
        </is>
      </c>
      <c r="H4" s="9" t="inlineStr">
        <is>
          <t>2T27E</t>
        </is>
      </c>
      <c r="I4" s="9" t="inlineStr">
        <is>
          <t>3T27E</t>
        </is>
      </c>
      <c r="J4" s="9" t="inlineStr">
        <is>
          <t>4T27E</t>
        </is>
      </c>
      <c r="K4" s="9" t="inlineStr">
        <is>
          <t>2028E</t>
        </is>
      </c>
      <c r="L4" s="9" t="inlineStr">
        <is>
          <t>2029E</t>
        </is>
      </c>
      <c r="M4" s="9" t="inlineStr">
        <is>
          <t>2030E</t>
        </is>
      </c>
    </row>
    <row r="5">
      <c r="A5" s="5" t="inlineStr">
        <is>
          <t>Fator do período (fração de ano)</t>
        </is>
      </c>
      <c r="B5" s="10" t="n"/>
      <c r="C5" s="10" t="n">
        <v>0.25</v>
      </c>
      <c r="D5" s="10" t="n">
        <v>0.25</v>
      </c>
      <c r="E5" s="10" t="n">
        <v>0.25</v>
      </c>
      <c r="F5" s="10" t="n">
        <v>0.25</v>
      </c>
      <c r="G5" s="10" t="n">
        <v>0.25</v>
      </c>
      <c r="H5" s="10" t="n">
        <v>0.25</v>
      </c>
      <c r="I5" s="10" t="n">
        <v>0.25</v>
      </c>
      <c r="J5" s="10" t="n">
        <v>0.25</v>
      </c>
      <c r="K5" s="10" t="n">
        <v>1</v>
      </c>
      <c r="L5" s="10" t="n">
        <v>1</v>
      </c>
      <c r="M5" s="10" t="n">
        <v>1</v>
      </c>
    </row>
    <row r="7">
      <c r="A7" s="11" t="inlineStr">
        <is>
          <t>1. PREMISSAS (edite as células amarelas)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4" t="inlineStr">
        <is>
          <t>CDI (% a.a.)</t>
        </is>
      </c>
      <c r="B8" s="13" t="n"/>
      <c r="C8" s="14" t="n">
        <v>0.149</v>
      </c>
      <c r="D8" s="14" t="n">
        <v>0.149</v>
      </c>
      <c r="E8" s="14" t="n">
        <v>0.1475</v>
      </c>
      <c r="F8" s="14" t="n">
        <v>0.145</v>
      </c>
      <c r="G8" s="14" t="n">
        <v>0.14</v>
      </c>
      <c r="H8" s="14" t="n">
        <v>0.135</v>
      </c>
      <c r="I8" s="14" t="n">
        <v>0.13</v>
      </c>
      <c r="J8" s="14" t="n">
        <v>0.125</v>
      </c>
      <c r="K8" s="14" t="n">
        <v>0.11</v>
      </c>
      <c r="L8" s="14" t="n">
        <v>0.105</v>
      </c>
      <c r="M8" s="14" t="n">
        <v>0.1</v>
      </c>
    </row>
    <row r="9">
      <c r="A9" s="4" t="inlineStr">
        <is>
          <t>Spread debêntures VIVA11 (a.a.)</t>
        </is>
      </c>
      <c r="B9" s="14" t="n">
        <v>0.007</v>
      </c>
    </row>
    <row r="10">
      <c r="A10" s="4" t="inlineStr">
        <is>
          <t>Spread outras dívidas (a.a.)</t>
        </is>
      </c>
      <c r="B10" s="14" t="n">
        <v>0.02</v>
      </c>
    </row>
    <row r="11">
      <c r="A11" s="4" t="inlineStr">
        <is>
          <t>Alíquota IR/CSLL</t>
        </is>
      </c>
      <c r="B11" s="14" t="n">
        <v>0.34</v>
      </c>
    </row>
    <row r="13">
      <c r="A13" s="11" t="inlineStr">
        <is>
          <t>2. DEBÊNTURES VIVA11  (100% CDI + 0,70% • amort. 50% 2029 / 50% 2030)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inlineStr">
        <is>
          <t>Saldo inicial</t>
        </is>
      </c>
      <c r="C14" s="15">
        <f>B17</f>
        <v/>
      </c>
      <c r="D14" s="15">
        <f>C17</f>
        <v/>
      </c>
      <c r="E14" s="15">
        <f>D17</f>
        <v/>
      </c>
      <c r="F14" s="15">
        <f>E17</f>
        <v/>
      </c>
      <c r="G14" s="15">
        <f>F17</f>
        <v/>
      </c>
      <c r="H14" s="15">
        <f>G17</f>
        <v/>
      </c>
      <c r="I14" s="15">
        <f>H17</f>
        <v/>
      </c>
      <c r="J14" s="15">
        <f>I17</f>
        <v/>
      </c>
      <c r="K14" s="15">
        <f>J17</f>
        <v/>
      </c>
      <c r="L14" s="15">
        <f>K17</f>
        <v/>
      </c>
      <c r="M14" s="15">
        <f>L17</f>
        <v/>
      </c>
    </row>
    <row r="15">
      <c r="A15" s="4" t="inlineStr">
        <is>
          <t>(+) Captações</t>
        </is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v>0</v>
      </c>
      <c r="L15" s="16" t="n">
        <v>0</v>
      </c>
      <c r="M15" s="16" t="n">
        <v>0</v>
      </c>
    </row>
    <row r="16">
      <c r="A16" s="4" t="inlineStr">
        <is>
          <t>(–) Amortizações</t>
        </is>
      </c>
      <c r="C16" s="16" t="n">
        <v>0</v>
      </c>
      <c r="D16" s="16" t="n">
        <v>0</v>
      </c>
      <c r="E16" s="16" t="n">
        <v>0</v>
      </c>
      <c r="F16" s="16" t="n">
        <v>0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150</v>
      </c>
      <c r="M16" s="16" t="n">
        <v>150</v>
      </c>
    </row>
    <row r="17">
      <c r="A17" s="3">
        <f> Saldo final</f>
        <v/>
      </c>
      <c r="B17" s="17" t="n">
        <v>300</v>
      </c>
      <c r="C17" s="18">
        <f>C14+C15-C16</f>
        <v/>
      </c>
      <c r="D17" s="18">
        <f>D14+D15-D16</f>
        <v/>
      </c>
      <c r="E17" s="18">
        <f>E14+E15-E16</f>
        <v/>
      </c>
      <c r="F17" s="18">
        <f>F14+F15-F16</f>
        <v/>
      </c>
      <c r="G17" s="18">
        <f>G14+G15-G16</f>
        <v/>
      </c>
      <c r="H17" s="18">
        <f>H14+H15-H16</f>
        <v/>
      </c>
      <c r="I17" s="18">
        <f>I14+I15-I16</f>
        <v/>
      </c>
      <c r="J17" s="18">
        <f>J14+J15-J16</f>
        <v/>
      </c>
      <c r="K17" s="18">
        <f>K14+K15-K16</f>
        <v/>
      </c>
      <c r="L17" s="18">
        <f>L14+L15-L16</f>
        <v/>
      </c>
      <c r="M17" s="18">
        <f>M14+M15-M16</f>
        <v/>
      </c>
    </row>
    <row r="18">
      <c r="A18" s="5" t="inlineStr">
        <is>
          <t>Saldo médio</t>
        </is>
      </c>
      <c r="C18" s="19">
        <f>(C14+C17)/2</f>
        <v/>
      </c>
      <c r="D18" s="19">
        <f>(D14+D17)/2</f>
        <v/>
      </c>
      <c r="E18" s="19">
        <f>(E14+E17)/2</f>
        <v/>
      </c>
      <c r="F18" s="19">
        <f>(F14+F17)/2</f>
        <v/>
      </c>
      <c r="G18" s="19">
        <f>(G14+G17)/2</f>
        <v/>
      </c>
      <c r="H18" s="19">
        <f>(H14+H17)/2</f>
        <v/>
      </c>
      <c r="I18" s="19">
        <f>(I14+I17)/2</f>
        <v/>
      </c>
      <c r="J18" s="19">
        <f>(J14+J17)/2</f>
        <v/>
      </c>
      <c r="K18" s="19">
        <f>(K14+K17)/2</f>
        <v/>
      </c>
      <c r="L18" s="19">
        <f>(L14+L17)/2</f>
        <v/>
      </c>
      <c r="M18" s="19">
        <f>(M14+M17)/2</f>
        <v/>
      </c>
    </row>
    <row r="19">
      <c r="A19" s="4" t="inlineStr">
        <is>
          <t>Despesa de juros</t>
        </is>
      </c>
      <c r="C19" s="15">
        <f>C18*(C8+$B$9)*C5</f>
        <v/>
      </c>
      <c r="D19" s="15">
        <f>D18*(D8+$B$9)*D5</f>
        <v/>
      </c>
      <c r="E19" s="15">
        <f>E18*(E8+$B$9)*E5</f>
        <v/>
      </c>
      <c r="F19" s="15">
        <f>F18*(F8+$B$9)*F5</f>
        <v/>
      </c>
      <c r="G19" s="15">
        <f>G18*(G8+$B$9)*G5</f>
        <v/>
      </c>
      <c r="H19" s="15">
        <f>H18*(H8+$B$9)*H5</f>
        <v/>
      </c>
      <c r="I19" s="15">
        <f>I18*(I8+$B$9)*I5</f>
        <v/>
      </c>
      <c r="J19" s="15">
        <f>J18*(J8+$B$9)*J5</f>
        <v/>
      </c>
      <c r="K19" s="15">
        <f>K18*(K8+$B$9)*K5</f>
        <v/>
      </c>
      <c r="L19" s="15">
        <f>L18*(L8+$B$9)*L5</f>
        <v/>
      </c>
      <c r="M19" s="15">
        <f>M18*(M8+$B$9)*M5</f>
        <v/>
      </c>
    </row>
    <row r="21">
      <c r="A21" s="11" t="inlineStr">
        <is>
          <t>3. OUTRAS DÍVIDAS  (bancos / FX / capital de giro — premissa: rolagem)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inlineStr">
        <is>
          <t>Saldo inicial</t>
        </is>
      </c>
      <c r="C22" s="15">
        <f>B25</f>
        <v/>
      </c>
      <c r="D22" s="15">
        <f>C25</f>
        <v/>
      </c>
      <c r="E22" s="15">
        <f>D25</f>
        <v/>
      </c>
      <c r="F22" s="15">
        <f>E25</f>
        <v/>
      </c>
      <c r="G22" s="15">
        <f>F25</f>
        <v/>
      </c>
      <c r="H22" s="15">
        <f>G25</f>
        <v/>
      </c>
      <c r="I22" s="15">
        <f>H25</f>
        <v/>
      </c>
      <c r="J22" s="15">
        <f>I25</f>
        <v/>
      </c>
      <c r="K22" s="15">
        <f>J25</f>
        <v/>
      </c>
      <c r="L22" s="15">
        <f>K25</f>
        <v/>
      </c>
      <c r="M22" s="15">
        <f>L25</f>
        <v/>
      </c>
    </row>
    <row r="23">
      <c r="A23" s="4" t="inlineStr">
        <is>
          <t>(+) Captações (input)</t>
        </is>
      </c>
      <c r="C23" s="16" t="n">
        <v>0</v>
      </c>
      <c r="D23" s="16" t="n">
        <v>0</v>
      </c>
      <c r="E23" s="16" t="n">
        <v>0</v>
      </c>
      <c r="F23" s="16" t="n">
        <v>0</v>
      </c>
      <c r="G23" s="16" t="n">
        <v>0</v>
      </c>
      <c r="H23" s="16" t="n">
        <v>0</v>
      </c>
      <c r="I23" s="16" t="n">
        <v>0</v>
      </c>
      <c r="J23" s="16" t="n">
        <v>0</v>
      </c>
      <c r="K23" s="16" t="n">
        <v>0</v>
      </c>
      <c r="L23" s="16" t="n">
        <v>0</v>
      </c>
      <c r="M23" s="16" t="n">
        <v>0</v>
      </c>
    </row>
    <row r="24">
      <c r="A24" s="4" t="inlineStr">
        <is>
          <t>(–) Amortizações (input)</t>
        </is>
      </c>
      <c r="C24" s="16" t="n">
        <v>0</v>
      </c>
      <c r="D24" s="16" t="n">
        <v>0</v>
      </c>
      <c r="E24" s="16" t="n">
        <v>0</v>
      </c>
      <c r="F24" s="16" t="n">
        <v>0</v>
      </c>
      <c r="G24" s="16" t="n">
        <v>0</v>
      </c>
      <c r="H24" s="16" t="n">
        <v>0</v>
      </c>
      <c r="I24" s="16" t="n">
        <v>0</v>
      </c>
      <c r="J24" s="16" t="n">
        <v>0</v>
      </c>
      <c r="K24" s="16" t="n">
        <v>0</v>
      </c>
      <c r="L24" s="16" t="n">
        <v>0</v>
      </c>
      <c r="M24" s="16" t="n">
        <v>0</v>
      </c>
    </row>
    <row r="25">
      <c r="A25" s="3">
        <f> Saldo final</f>
        <v/>
      </c>
      <c r="B25" s="17">
        <f>B30-B17</f>
        <v/>
      </c>
      <c r="C25" s="18">
        <f>C22+C23-C24</f>
        <v/>
      </c>
      <c r="D25" s="18">
        <f>D22+D23-D24</f>
        <v/>
      </c>
      <c r="E25" s="18">
        <f>E22+E23-E24</f>
        <v/>
      </c>
      <c r="F25" s="18">
        <f>F22+F23-F24</f>
        <v/>
      </c>
      <c r="G25" s="18">
        <f>G22+G23-G24</f>
        <v/>
      </c>
      <c r="H25" s="18">
        <f>H22+H23-H24</f>
        <v/>
      </c>
      <c r="I25" s="18">
        <f>I22+I23-I24</f>
        <v/>
      </c>
      <c r="J25" s="18">
        <f>J22+J23-J24</f>
        <v/>
      </c>
      <c r="K25" s="18">
        <f>K22+K23-K24</f>
        <v/>
      </c>
      <c r="L25" s="18">
        <f>L22+L23-L24</f>
        <v/>
      </c>
      <c r="M25" s="18">
        <f>M22+M23-M24</f>
        <v/>
      </c>
    </row>
    <row r="26">
      <c r="A26" s="5" t="inlineStr">
        <is>
          <t>Saldo médio</t>
        </is>
      </c>
      <c r="C26" s="19">
        <f>(C22+C25)/2</f>
        <v/>
      </c>
      <c r="D26" s="19">
        <f>(D22+D25)/2</f>
        <v/>
      </c>
      <c r="E26" s="19">
        <f>(E22+E25)/2</f>
        <v/>
      </c>
      <c r="F26" s="19">
        <f>(F22+F25)/2</f>
        <v/>
      </c>
      <c r="G26" s="19">
        <f>(G22+G25)/2</f>
        <v/>
      </c>
      <c r="H26" s="19">
        <f>(H22+H25)/2</f>
        <v/>
      </c>
      <c r="I26" s="19">
        <f>(I22+I25)/2</f>
        <v/>
      </c>
      <c r="J26" s="19">
        <f>(J22+J25)/2</f>
        <v/>
      </c>
      <c r="K26" s="19">
        <f>(K22+K25)/2</f>
        <v/>
      </c>
      <c r="L26" s="19">
        <f>(L22+L25)/2</f>
        <v/>
      </c>
      <c r="M26" s="19">
        <f>(M22+M25)/2</f>
        <v/>
      </c>
    </row>
    <row r="27">
      <c r="A27" s="4" t="inlineStr">
        <is>
          <t>Despesa de juros</t>
        </is>
      </c>
      <c r="C27" s="15">
        <f>C26*(C8+$B$10)*C5</f>
        <v/>
      </c>
      <c r="D27" s="15">
        <f>D26*(D8+$B$10)*D5</f>
        <v/>
      </c>
      <c r="E27" s="15">
        <f>E26*(E8+$B$10)*E5</f>
        <v/>
      </c>
      <c r="F27" s="15">
        <f>F26*(F8+$B$10)*F5</f>
        <v/>
      </c>
      <c r="G27" s="15">
        <f>G26*(G8+$B$10)*G5</f>
        <v/>
      </c>
      <c r="H27" s="15">
        <f>H26*(H8+$B$10)*H5</f>
        <v/>
      </c>
      <c r="I27" s="15">
        <f>I26*(I8+$B$10)*I5</f>
        <v/>
      </c>
      <c r="J27" s="15">
        <f>J26*(J8+$B$10)*J5</f>
        <v/>
      </c>
      <c r="K27" s="15">
        <f>K26*(K8+$B$10)*K5</f>
        <v/>
      </c>
      <c r="L27" s="15">
        <f>L26*(L8+$B$10)*L5</f>
        <v/>
      </c>
      <c r="M27" s="15">
        <f>M26*(M8+$B$10)*M5</f>
        <v/>
      </c>
    </row>
    <row r="29">
      <c r="A29" s="11" t="inlineStr">
        <is>
          <t>4. DÍVIDA CONSOLIDADA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3" t="inlineStr">
        <is>
          <t>Dívida bruta (fim do período)</t>
        </is>
      </c>
      <c r="B30" s="17" t="n">
        <v>531.3</v>
      </c>
      <c r="C30" s="18">
        <f>C17+C25</f>
        <v/>
      </c>
      <c r="D30" s="18">
        <f>D17+D25</f>
        <v/>
      </c>
      <c r="E30" s="18">
        <f>E17+E25</f>
        <v/>
      </c>
      <c r="F30" s="18">
        <f>F17+F25</f>
        <v/>
      </c>
      <c r="G30" s="18">
        <f>G17+G25</f>
        <v/>
      </c>
      <c r="H30" s="18">
        <f>H17+H25</f>
        <v/>
      </c>
      <c r="I30" s="18">
        <f>I17+I25</f>
        <v/>
      </c>
      <c r="J30" s="18">
        <f>J17+J25</f>
        <v/>
      </c>
      <c r="K30" s="18">
        <f>K17+K25</f>
        <v/>
      </c>
      <c r="L30" s="18">
        <f>L17+L25</f>
        <v/>
      </c>
      <c r="M30" s="18">
        <f>M17+M25</f>
        <v/>
      </c>
    </row>
    <row r="31">
      <c r="A31" s="3" t="inlineStr">
        <is>
          <t>Despesa de juros total (dívida)</t>
        </is>
      </c>
      <c r="C31" s="18">
        <f>C19+C27</f>
        <v/>
      </c>
      <c r="D31" s="18">
        <f>D19+D27</f>
        <v/>
      </c>
      <c r="E31" s="18">
        <f>E19+E27</f>
        <v/>
      </c>
      <c r="F31" s="18">
        <f>F19+F27</f>
        <v/>
      </c>
      <c r="G31" s="18">
        <f>G19+G27</f>
        <v/>
      </c>
      <c r="H31" s="18">
        <f>H19+H27</f>
        <v/>
      </c>
      <c r="I31" s="18">
        <f>I19+I27</f>
        <v/>
      </c>
      <c r="J31" s="18">
        <f>J19+J27</f>
        <v/>
      </c>
      <c r="K31" s="18">
        <f>K19+K27</f>
        <v/>
      </c>
      <c r="L31" s="18">
        <f>L19+L27</f>
        <v/>
      </c>
      <c r="M31" s="18">
        <f>M19+M27</f>
        <v/>
      </c>
    </row>
    <row r="33">
      <c r="A33" s="11" t="inlineStr">
        <is>
          <t>5. CAIXA E DÍVIDA LÍQUIDA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inlineStr">
        <is>
          <t>Caixa inicial</t>
        </is>
      </c>
      <c r="D34" s="15">
        <f>C40</f>
        <v/>
      </c>
      <c r="E34" s="15">
        <f>D40</f>
        <v/>
      </c>
      <c r="F34" s="15">
        <f>E40</f>
        <v/>
      </c>
      <c r="G34" s="15">
        <f>F40</f>
        <v/>
      </c>
      <c r="H34" s="15">
        <f>G40</f>
        <v/>
      </c>
      <c r="I34" s="15">
        <f>H40</f>
        <v/>
      </c>
      <c r="J34" s="15">
        <f>I40</f>
        <v/>
      </c>
      <c r="K34" s="15">
        <f>J40</f>
        <v/>
      </c>
      <c r="L34" s="15">
        <f>K40</f>
        <v/>
      </c>
      <c r="M34" s="15">
        <f>L40</f>
        <v/>
      </c>
    </row>
    <row r="35">
      <c r="A35" s="4" t="inlineStr">
        <is>
          <t>(+) FCF livre pré-financiamento (LINK do seu modelo)</t>
        </is>
      </c>
      <c r="D35" s="16" t="n">
        <v>0</v>
      </c>
      <c r="E35" s="16" t="n">
        <v>0</v>
      </c>
      <c r="F35" s="16" t="n">
        <v>0</v>
      </c>
      <c r="G35" s="16" t="n">
        <v>0</v>
      </c>
      <c r="H35" s="16" t="n">
        <v>0</v>
      </c>
      <c r="I35" s="16" t="n">
        <v>0</v>
      </c>
      <c r="J35" s="16" t="n">
        <v>0</v>
      </c>
      <c r="K35" s="16" t="n">
        <v>0</v>
      </c>
      <c r="L35" s="16" t="n">
        <v>0</v>
      </c>
      <c r="M35" s="16" t="n">
        <v>0</v>
      </c>
    </row>
    <row r="36">
      <c r="A36" s="4" t="inlineStr">
        <is>
          <t>(–) Dividendos / JCP (input)</t>
        </is>
      </c>
      <c r="D36" s="16" t="n">
        <v>0</v>
      </c>
      <c r="E36" s="16" t="n">
        <v>0</v>
      </c>
      <c r="F36" s="16" t="n">
        <v>0</v>
      </c>
      <c r="G36" s="16" t="n">
        <v>0</v>
      </c>
      <c r="H36" s="16" t="n">
        <v>0</v>
      </c>
      <c r="I36" s="16" t="n">
        <v>0</v>
      </c>
      <c r="J36" s="16" t="n">
        <v>0</v>
      </c>
      <c r="K36" s="16" t="n">
        <v>0</v>
      </c>
      <c r="L36" s="16" t="n">
        <v>0</v>
      </c>
      <c r="M36" s="16" t="n">
        <v>0</v>
      </c>
    </row>
    <row r="37">
      <c r="A37" s="5" t="inlineStr">
        <is>
          <t>(–) Juros pagos</t>
        </is>
      </c>
      <c r="C37" s="19">
        <f>C31</f>
        <v/>
      </c>
      <c r="D37" s="19">
        <f>D31</f>
        <v/>
      </c>
      <c r="E37" s="19">
        <f>E31</f>
        <v/>
      </c>
      <c r="F37" s="19">
        <f>F31</f>
        <v/>
      </c>
      <c r="G37" s="19">
        <f>G31</f>
        <v/>
      </c>
      <c r="H37" s="19">
        <f>H31</f>
        <v/>
      </c>
      <c r="I37" s="19">
        <f>I31</f>
        <v/>
      </c>
      <c r="J37" s="19">
        <f>J31</f>
        <v/>
      </c>
      <c r="K37" s="19">
        <f>K31</f>
        <v/>
      </c>
      <c r="L37" s="19">
        <f>L31</f>
        <v/>
      </c>
      <c r="M37" s="19">
        <f>M31</f>
        <v/>
      </c>
    </row>
    <row r="38">
      <c r="A38" s="5" t="inlineStr">
        <is>
          <t>(–) Amortizações totais</t>
        </is>
      </c>
      <c r="C38" s="19">
        <f>C16+C24</f>
        <v/>
      </c>
      <c r="D38" s="19">
        <f>D16+D24</f>
        <v/>
      </c>
      <c r="E38" s="19">
        <f>E16+E24</f>
        <v/>
      </c>
      <c r="F38" s="19">
        <f>F16+F24</f>
        <v/>
      </c>
      <c r="G38" s="19">
        <f>G16+G24</f>
        <v/>
      </c>
      <c r="H38" s="19">
        <f>H16+H24</f>
        <v/>
      </c>
      <c r="I38" s="19">
        <f>I16+I24</f>
        <v/>
      </c>
      <c r="J38" s="19">
        <f>J16+J24</f>
        <v/>
      </c>
      <c r="K38" s="19">
        <f>K16+K24</f>
        <v/>
      </c>
      <c r="L38" s="19">
        <f>L16+L24</f>
        <v/>
      </c>
      <c r="M38" s="19">
        <f>M16+M24</f>
        <v/>
      </c>
    </row>
    <row r="39">
      <c r="A39" s="5" t="inlineStr">
        <is>
          <t>(+) Captações totais</t>
        </is>
      </c>
      <c r="C39" s="19">
        <f>C15+C23</f>
        <v/>
      </c>
      <c r="D39" s="19">
        <f>D15+D23</f>
        <v/>
      </c>
      <c r="E39" s="19">
        <f>E15+E23</f>
        <v/>
      </c>
      <c r="F39" s="19">
        <f>F15+F23</f>
        <v/>
      </c>
      <c r="G39" s="19">
        <f>G15+G23</f>
        <v/>
      </c>
      <c r="H39" s="19">
        <f>H15+H23</f>
        <v/>
      </c>
      <c r="I39" s="19">
        <f>I15+I23</f>
        <v/>
      </c>
      <c r="J39" s="19">
        <f>J15+J23</f>
        <v/>
      </c>
      <c r="K39" s="19">
        <f>K15+K23</f>
        <v/>
      </c>
      <c r="L39" s="19">
        <f>L15+L23</f>
        <v/>
      </c>
      <c r="M39" s="19">
        <f>M15+M23</f>
        <v/>
      </c>
    </row>
    <row r="40">
      <c r="A40" s="3">
        <f> Caixa e equivalentes (fim)</f>
        <v/>
      </c>
      <c r="B40" s="17" t="n">
        <v>398.6</v>
      </c>
      <c r="C40" s="17" t="n">
        <v>284.7</v>
      </c>
      <c r="D40" s="18">
        <f>D34+D35-D36-D37-D38+D39</f>
        <v/>
      </c>
      <c r="E40" s="18">
        <f>E34+E35-E36-E37-E38+E39</f>
        <v/>
      </c>
      <c r="F40" s="18">
        <f>F34+F35-F36-F37-F38+F39</f>
        <v/>
      </c>
      <c r="G40" s="18">
        <f>G34+G35-G36-G37-G38+G39</f>
        <v/>
      </c>
      <c r="H40" s="18">
        <f>H34+H35-H36-H37-H38+H39</f>
        <v/>
      </c>
      <c r="I40" s="18">
        <f>I34+I35-I36-I37-I38+I39</f>
        <v/>
      </c>
      <c r="J40" s="18">
        <f>J34+J35-J36-J37-J38+J39</f>
        <v/>
      </c>
      <c r="K40" s="18">
        <f>K34+K35-K36-K37-K38+K39</f>
        <v/>
      </c>
      <c r="L40" s="18">
        <f>L34+L35-L36-L37-L38+L39</f>
        <v/>
      </c>
      <c r="M40" s="18">
        <f>M34+M35-M36-M37-M38+M39</f>
        <v/>
      </c>
    </row>
    <row r="41">
      <c r="A41" s="3" t="inlineStr">
        <is>
          <t>Dívida líquida</t>
        </is>
      </c>
      <c r="B41" s="17">
        <f>B30-B40</f>
        <v/>
      </c>
      <c r="C41" s="17">
        <f>C30-C40</f>
        <v/>
      </c>
      <c r="D41" s="18">
        <f>D30-D40</f>
        <v/>
      </c>
      <c r="E41" s="18">
        <f>E30-E40</f>
        <v/>
      </c>
      <c r="F41" s="18">
        <f>F30-F40</f>
        <v/>
      </c>
      <c r="G41" s="18">
        <f>G30-G40</f>
        <v/>
      </c>
      <c r="H41" s="18">
        <f>H30-H40</f>
        <v/>
      </c>
      <c r="I41" s="18">
        <f>I30-I40</f>
        <v/>
      </c>
      <c r="J41" s="18">
        <f>J30-J40</f>
        <v/>
      </c>
      <c r="K41" s="18">
        <f>K30-K40</f>
        <v/>
      </c>
      <c r="L41" s="18">
        <f>L30-L40</f>
        <v/>
      </c>
      <c r="M41" s="18">
        <f>M30-M40</f>
        <v/>
      </c>
    </row>
    <row r="43">
      <c r="A43" s="11" t="inlineStr">
        <is>
          <t>6. INTERFACE P/ VALUATION  (referencie estas linhas no seu modelo)</t>
        </is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3" t="inlineStr">
        <is>
          <t>Dívida bruta (fim)</t>
        </is>
      </c>
      <c r="B44" s="20">
        <f>B30</f>
        <v/>
      </c>
      <c r="C44" s="20">
        <f>C30</f>
        <v/>
      </c>
      <c r="D44" s="20">
        <f>D30</f>
        <v/>
      </c>
      <c r="E44" s="20">
        <f>E30</f>
        <v/>
      </c>
      <c r="F44" s="20">
        <f>F30</f>
        <v/>
      </c>
      <c r="G44" s="20">
        <f>G30</f>
        <v/>
      </c>
      <c r="H44" s="20">
        <f>H30</f>
        <v/>
      </c>
      <c r="I44" s="20">
        <f>I30</f>
        <v/>
      </c>
      <c r="J44" s="20">
        <f>J30</f>
        <v/>
      </c>
      <c r="K44" s="20">
        <f>K30</f>
        <v/>
      </c>
      <c r="L44" s="20">
        <f>L30</f>
        <v/>
      </c>
      <c r="M44" s="20">
        <f>M30</f>
        <v/>
      </c>
    </row>
    <row r="45">
      <c r="A45" s="3" t="inlineStr">
        <is>
          <t>Caixa e equivalentes (fim)</t>
        </is>
      </c>
      <c r="B45" s="20">
        <f>B40</f>
        <v/>
      </c>
      <c r="C45" s="20">
        <f>C40</f>
        <v/>
      </c>
      <c r="D45" s="20">
        <f>D40</f>
        <v/>
      </c>
      <c r="E45" s="20">
        <f>E40</f>
        <v/>
      </c>
      <c r="F45" s="20">
        <f>F40</f>
        <v/>
      </c>
      <c r="G45" s="20">
        <f>G40</f>
        <v/>
      </c>
      <c r="H45" s="20">
        <f>H40</f>
        <v/>
      </c>
      <c r="I45" s="20">
        <f>I40</f>
        <v/>
      </c>
      <c r="J45" s="20">
        <f>J40</f>
        <v/>
      </c>
      <c r="K45" s="20">
        <f>K40</f>
        <v/>
      </c>
      <c r="L45" s="20">
        <f>L40</f>
        <v/>
      </c>
      <c r="M45" s="20">
        <f>M40</f>
        <v/>
      </c>
    </row>
    <row r="46">
      <c r="A46" s="3" t="inlineStr">
        <is>
          <t>Dívida líquida (fim)</t>
        </is>
      </c>
      <c r="B46" s="20">
        <f>B41</f>
        <v/>
      </c>
      <c r="C46" s="20">
        <f>C41</f>
        <v/>
      </c>
      <c r="D46" s="20">
        <f>D41</f>
        <v/>
      </c>
      <c r="E46" s="20">
        <f>E41</f>
        <v/>
      </c>
      <c r="F46" s="20">
        <f>F41</f>
        <v/>
      </c>
      <c r="G46" s="20">
        <f>G41</f>
        <v/>
      </c>
      <c r="H46" s="20">
        <f>H41</f>
        <v/>
      </c>
      <c r="I46" s="20">
        <f>I41</f>
        <v/>
      </c>
      <c r="J46" s="20">
        <f>J41</f>
        <v/>
      </c>
      <c r="K46" s="20">
        <f>K41</f>
        <v/>
      </c>
      <c r="L46" s="20">
        <f>L41</f>
        <v/>
      </c>
      <c r="M46" s="20">
        <f>M41</f>
        <v/>
      </c>
    </row>
    <row r="47">
      <c r="A47" s="4" t="inlineStr">
        <is>
          <t>Amortizações (saída — financiamento)</t>
        </is>
      </c>
      <c r="C47" s="21">
        <f>C16+C24</f>
        <v/>
      </c>
      <c r="D47" s="21">
        <f>D16+D24</f>
        <v/>
      </c>
      <c r="E47" s="21">
        <f>E16+E24</f>
        <v/>
      </c>
      <c r="F47" s="21">
        <f>F16+F24</f>
        <v/>
      </c>
      <c r="G47" s="21">
        <f>G16+G24</f>
        <v/>
      </c>
      <c r="H47" s="21">
        <f>H16+H24</f>
        <v/>
      </c>
      <c r="I47" s="21">
        <f>I16+I24</f>
        <v/>
      </c>
      <c r="J47" s="21">
        <f>J16+J24</f>
        <v/>
      </c>
      <c r="K47" s="21">
        <f>K16+K24</f>
        <v/>
      </c>
      <c r="L47" s="21">
        <f>L16+L24</f>
        <v/>
      </c>
      <c r="M47" s="21">
        <f>M16+M24</f>
        <v/>
      </c>
    </row>
    <row r="48">
      <c r="A48" s="4" t="inlineStr">
        <is>
          <t>Captações (entrada — financiamento)</t>
        </is>
      </c>
      <c r="C48" s="21">
        <f>C15+C23</f>
        <v/>
      </c>
      <c r="D48" s="21">
        <f>D15+D23</f>
        <v/>
      </c>
      <c r="E48" s="21">
        <f>E15+E23</f>
        <v/>
      </c>
      <c r="F48" s="21">
        <f>F15+F23</f>
        <v/>
      </c>
      <c r="G48" s="21">
        <f>G15+G23</f>
        <v/>
      </c>
      <c r="H48" s="21">
        <f>H15+H23</f>
        <v/>
      </c>
      <c r="I48" s="21">
        <f>I15+I23</f>
        <v/>
      </c>
      <c r="J48" s="21">
        <f>J15+J23</f>
        <v/>
      </c>
      <c r="K48" s="21">
        <f>K15+K23</f>
        <v/>
      </c>
      <c r="L48" s="21">
        <f>L15+L23</f>
        <v/>
      </c>
      <c r="M48" s="21">
        <f>M15+M23</f>
        <v/>
      </c>
    </row>
    <row r="49">
      <c r="A49" s="3" t="inlineStr">
        <is>
          <t>Despesa de juros (P&amp;L, competência)</t>
        </is>
      </c>
      <c r="C49" s="20">
        <f>C31</f>
        <v/>
      </c>
      <c r="D49" s="20">
        <f>D31</f>
        <v/>
      </c>
      <c r="E49" s="20">
        <f>E31</f>
        <v/>
      </c>
      <c r="F49" s="20">
        <f>F31</f>
        <v/>
      </c>
      <c r="G49" s="20">
        <f>G31</f>
        <v/>
      </c>
      <c r="H49" s="20">
        <f>H31</f>
        <v/>
      </c>
      <c r="I49" s="20">
        <f>I31</f>
        <v/>
      </c>
      <c r="J49" s="20">
        <f>J31</f>
        <v/>
      </c>
      <c r="K49" s="20">
        <f>K31</f>
        <v/>
      </c>
      <c r="L49" s="20">
        <f>L31</f>
        <v/>
      </c>
      <c r="M49" s="20">
        <f>M31</f>
        <v/>
      </c>
    </row>
    <row r="50">
      <c r="A50" s="4" t="inlineStr">
        <is>
          <t>Juros após IR</t>
        </is>
      </c>
      <c r="C50" s="21">
        <f>C31*(1-$B$11)</f>
        <v/>
      </c>
      <c r="D50" s="21">
        <f>D31*(1-$B$11)</f>
        <v/>
      </c>
      <c r="E50" s="21">
        <f>E31*(1-$B$11)</f>
        <v/>
      </c>
      <c r="F50" s="21">
        <f>F31*(1-$B$11)</f>
        <v/>
      </c>
      <c r="G50" s="21">
        <f>G31*(1-$B$11)</f>
        <v/>
      </c>
      <c r="H50" s="21">
        <f>H31*(1-$B$11)</f>
        <v/>
      </c>
      <c r="I50" s="21">
        <f>I31*(1-$B$11)</f>
        <v/>
      </c>
      <c r="J50" s="21">
        <f>J31*(1-$B$11)</f>
        <v/>
      </c>
      <c r="K50" s="21">
        <f>K31*(1-$B$11)</f>
        <v/>
      </c>
      <c r="L50" s="21">
        <f>L31*(1-$B$11)</f>
        <v/>
      </c>
      <c r="M50" s="21">
        <f>M31*(1-$B$11)</f>
        <v/>
      </c>
    </row>
    <row r="51">
      <c r="A51" s="4" t="inlineStr">
        <is>
          <t>Economia fiscal dos juros (tax shield)</t>
        </is>
      </c>
      <c r="C51" s="21">
        <f>C31*$B$11</f>
        <v/>
      </c>
      <c r="D51" s="21">
        <f>D31*$B$11</f>
        <v/>
      </c>
      <c r="E51" s="21">
        <f>E31*$B$11</f>
        <v/>
      </c>
      <c r="F51" s="21">
        <f>F31*$B$11</f>
        <v/>
      </c>
      <c r="G51" s="21">
        <f>G31*$B$11</f>
        <v/>
      </c>
      <c r="H51" s="21">
        <f>H31*$B$11</f>
        <v/>
      </c>
      <c r="I51" s="21">
        <f>I31*$B$11</f>
        <v/>
      </c>
      <c r="J51" s="21">
        <f>J31*$B$11</f>
        <v/>
      </c>
      <c r="K51" s="21">
        <f>K31*$B$11</f>
        <v/>
      </c>
      <c r="L51" s="21">
        <f>L31*$B$11</f>
        <v/>
      </c>
      <c r="M51" s="21">
        <f>M31*$B$11</f>
        <v/>
      </c>
    </row>
    <row r="52">
      <c r="A52" s="4" t="inlineStr">
        <is>
          <t>EBITDA LTM (input opcional — link do seu modelo)</t>
        </is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</row>
    <row r="53">
      <c r="A53" s="4" t="inlineStr">
        <is>
          <t>Dívida líquida / EBITDA (x)</t>
        </is>
      </c>
      <c r="B53" s="22">
        <f>IFERROR(B46/B52,"")</f>
        <v/>
      </c>
      <c r="C53" s="22">
        <f>IFERROR(C46/C52,"")</f>
        <v/>
      </c>
      <c r="D53" s="22">
        <f>IFERROR(D46/D52,"")</f>
        <v/>
      </c>
      <c r="E53" s="22">
        <f>IFERROR(E46/E52,"")</f>
        <v/>
      </c>
      <c r="F53" s="22">
        <f>IFERROR(F46/F52,"")</f>
        <v/>
      </c>
      <c r="G53" s="22">
        <f>IFERROR(G46/G52,"")</f>
        <v/>
      </c>
      <c r="H53" s="22">
        <f>IFERROR(H46/H52,"")</f>
        <v/>
      </c>
      <c r="I53" s="22">
        <f>IFERROR(I46/I52,"")</f>
        <v/>
      </c>
      <c r="J53" s="22">
        <f>IFERROR(J46/J52,"")</f>
        <v/>
      </c>
      <c r="K53" s="22">
        <f>IFERROR(K46/K52,"")</f>
        <v/>
      </c>
      <c r="L53" s="22">
        <f>IFERROR(L46/L52,"")</f>
        <v/>
      </c>
      <c r="M53" s="22">
        <f>IFERROR(M46/M52,"")</f>
        <v/>
      </c>
    </row>
    <row r="55">
      <c r="A55" s="5" t="inlineStr">
        <is>
          <t>Nota: juros em regime de competência (proxy p/ caixa). Debêntures pagam juros semestrais (fev/ago) e amortizam 50% em 2029 e 50% em 2030. Ligue a linha de FCF livre ao seu modelo para o caixa e a dívida líquida rodarem sozinhos.</t>
        </is>
      </c>
    </row>
  </sheetData>
  <mergeCells count="1">
    <mergeCell ref="A55:M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2026-07-15T17:07:22Z</dcterms:created>
  <dcterms:modified xsi:type="dcterms:W3CDTF">2026-07-15T17:07:22Z</dcterms:modified>
</cp:coreProperties>
</file>