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Modelo_Dívi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(#,##0.0)"/>
    <numFmt numFmtId="165" formatCode="0.00&quot;x&quot;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sz val="10"/>
    </font>
    <font>
      <sz val="10"/>
    </font>
    <font>
      <i val="1"/>
      <color rgb="00808080"/>
      <sz val="8"/>
    </font>
    <font>
      <i val="1"/>
      <color rgb="00595959"/>
      <sz val="9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right"/>
    </xf>
    <xf numFmtId="0" fontId="6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4" fontId="3" fillId="4" borderId="1" applyAlignment="1" pivotButton="0" quotePrefix="0" xfId="0">
      <alignment horizontal="right"/>
    </xf>
    <xf numFmtId="164" fontId="2" fillId="5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2" fillId="6" borderId="1" applyAlignment="1" pivotButton="0" quotePrefix="0" xfId="0">
      <alignment horizontal="right"/>
    </xf>
    <xf numFmtId="164" fontId="3" fillId="6" borderId="1" applyAlignment="1" pivotButton="0" quotePrefix="0" xfId="0">
      <alignment horizontal="right"/>
    </xf>
    <xf numFmtId="165" fontId="3" fillId="6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2" customWidth="1" min="2" max="2"/>
  </cols>
  <sheetData>
    <row r="1">
      <c r="B1" s="1" t="inlineStr">
        <is>
          <t>VIVARA (VIVA3) — Fluxo de Dívida (módulo de valuation)</t>
        </is>
      </c>
    </row>
    <row r="2">
      <c r="B2" s="2" t="inlineStr"/>
    </row>
    <row r="3">
      <c r="B3" s="3" t="inlineStr">
        <is>
          <t>O QUE É</t>
        </is>
      </c>
    </row>
    <row r="4">
      <c r="B4" s="4" t="inlineStr">
        <is>
          <t>Cronograma de dívida bruta, despesa de juros e dívida líquida, montado como motor</t>
        </is>
      </c>
    </row>
    <row r="5">
      <c r="B5" s="4" t="inlineStr">
        <is>
          <t>independente para acoplar ao seu valuation. Trimestral (aberto até 4T27) e anual até 2037.</t>
        </is>
      </c>
    </row>
    <row r="6">
      <c r="B6" s="2" t="inlineStr"/>
    </row>
    <row r="7">
      <c r="B7" s="3" t="inlineStr">
        <is>
          <t>COMO ACOPLAR (aba 'Modelo_Dívida')</t>
        </is>
      </c>
    </row>
    <row r="8">
      <c r="B8" s="4" t="inlineStr">
        <is>
          <t>1. Amarelo = premissa/input (CDI, spreads, amortizações, captações, dividendos e o FCF livre).</t>
        </is>
      </c>
    </row>
    <row r="9">
      <c r="B9" s="4" t="inlineStr">
        <is>
          <t>2. Ligue a linha 'FCF livre pré-financiamento (LINK)' ao FCF do seu modelo → caixa e dívida</t>
        </is>
      </c>
    </row>
    <row r="10">
      <c r="B10" s="4" t="inlineStr">
        <is>
          <t xml:space="preserve">   líquida rodam sozinhos.</t>
        </is>
      </c>
    </row>
    <row r="11">
      <c r="B11" s="4" t="inlineStr">
        <is>
          <t>3. Referencie no seu valuation as linhas VERDES da seção de Interface.</t>
        </is>
      </c>
    </row>
    <row r="12">
      <c r="B12" s="4" t="inlineStr">
        <is>
          <t>4. Azul = dado real reportado (âncora), não recalcula.</t>
        </is>
      </c>
    </row>
    <row r="13">
      <c r="B13" s="2" t="inlineStr"/>
    </row>
    <row r="14">
      <c r="B14" s="3" t="inlineStr">
        <is>
          <t>PREMISSAS-CHAVE (reais, pesquisadas)</t>
        </is>
      </c>
    </row>
    <row r="15">
      <c r="B15" s="4" t="inlineStr">
        <is>
          <t>• Debênture VIVA11 (1ª emissão): R$ 300 mi, 27/08/2025→2030, 100% CDI + 0,70% a.a.,</t>
        </is>
      </c>
    </row>
    <row r="16">
      <c r="B16" s="4" t="inlineStr">
        <is>
          <t xml:space="preserve">  juros semestrais; amortização 50% em 2029 e 50% em 2030; recursos p/ liquidar CCBs.</t>
        </is>
      </c>
    </row>
    <row r="17">
      <c r="B17" s="4" t="inlineStr">
        <is>
          <t>• 31/12/2025: dívida bruta R$ 531,3 mi | caixa R$ 398,6 mi | dívida líquida R$ 132,6 mi.</t>
        </is>
      </c>
    </row>
    <row r="18">
      <c r="B18" s="4" t="inlineStr">
        <is>
          <t>• 1T26: dívida líquida R$ 246,6 mi | alavancagem 0,3x ND/EBITDA.</t>
        </is>
      </c>
    </row>
    <row r="19">
      <c r="B19" s="2" t="inlineStr"/>
    </row>
    <row r="20">
      <c r="B20" s="3" t="inlineStr">
        <is>
          <t>CRONOGRAMA DE AMORTIZAÇÃO</t>
        </is>
      </c>
    </row>
    <row r="21">
      <c r="B21" s="4" t="inlineStr">
        <is>
          <t>• Debêntures VIVA11: 50% em 27/08/2029 e 50% em 27/08/2030 — contratual (firme).</t>
        </is>
      </c>
    </row>
    <row r="22">
      <c r="B22" s="4" t="inlineStr">
        <is>
          <t>• Outras dívidas (R$ 231,3 mi): capital de giro / FX (swap→CDI), vencimentos reais em</t>
        </is>
      </c>
    </row>
    <row r="23">
      <c r="B23" s="4" t="inlineStr">
        <is>
          <t xml:space="preserve">  09/2026 (CDI+0,55%), 12/2026 (CDI+0,95%) e 02/2027 (CDI+1,69%). Montante de cada</t>
        </is>
      </c>
    </row>
    <row r="24">
      <c r="B24" s="4" t="inlineStr">
        <is>
          <t xml:space="preserve">  vencimento reconstruído (o ITR não abre o valor por linha) — edite as células amarelas.</t>
        </is>
      </c>
    </row>
    <row r="25">
      <c r="B25" s="4" t="inlineStr">
        <is>
          <t>• Driver 'Refinanciamento Outras dívidas' = 0% (base: amortizam; XP vê Vivara a caixa</t>
        </is>
      </c>
    </row>
    <row r="26">
      <c r="B26" s="4" t="inlineStr">
        <is>
          <t xml:space="preserve">  líquido até fim/2026). Suba p/ modelar rolagem dessas linhas.</t>
        </is>
      </c>
    </row>
    <row r="27">
      <c r="B27" s="2" t="inlineStr"/>
    </row>
    <row r="28">
      <c r="B28" s="3" t="inlineStr">
        <is>
          <t>PREMISSAS ESTIMADAS</t>
        </is>
      </c>
    </row>
    <row r="29">
      <c r="B29" s="4" t="inlineStr">
        <is>
          <t>• Caixa 1T26 (R$ 284,7 mi) fecha a DL reportada de R$ 246,6 mi.</t>
        </is>
      </c>
    </row>
    <row r="30">
      <c r="B30" s="4" t="inlineStr">
        <is>
          <t>• 'Despesa de juros' é só a da dívida; o resultado financeiro reportado (−R$ 15 mi no 1T26)</t>
        </is>
      </c>
    </row>
    <row r="31">
      <c r="B31" s="4" t="inlineStr">
        <is>
          <t xml:space="preserve">  inclui derivativos/MtM e não bate 1:1.</t>
        </is>
      </c>
    </row>
    <row r="32">
      <c r="B32" s="2" t="inlineStr"/>
    </row>
    <row r="33">
      <c r="B33" s="3" t="inlineStr">
        <is>
          <t>FONTES</t>
        </is>
      </c>
    </row>
    <row r="34">
      <c r="B34" s="5" t="inlineStr">
        <is>
          <t>• Release 1T26 (Money Times / Nord / Análise de Ações); VIVA11 (debentures.com.br /</t>
        </is>
      </c>
    </row>
    <row r="35">
      <c r="B35" s="5" t="inlineStr">
        <is>
          <t xml:space="preserve">  Mais Retorno / ANBIMA); emissão R$ 300 mi (Lex Legal); DF 2025 Vivara Participações.</t>
        </is>
      </c>
    </row>
    <row r="36">
      <c r="B36" s="2" t="inlineStr"/>
    </row>
    <row r="37">
      <c r="B37" s="5" t="inlineStr">
        <is>
          <t>Gerado por build_debt_model.py — reexecute p/ regenerar. R$ milhões salvo indicado.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</cols>
  <sheetData>
    <row r="1">
      <c r="A1" s="6" t="inlineStr">
        <is>
          <t>VIVARA (VIVA3) — Fluxo de Dívida (módulo de valuation)</t>
        </is>
      </c>
    </row>
    <row r="2">
      <c r="A2" s="7" t="inlineStr">
        <is>
          <t>R$ milhões  •  Trimestral (aberto até 4T27) e anual até 2037  •  amarelo=input, azul=real, verde=interface</t>
        </is>
      </c>
    </row>
    <row r="4">
      <c r="A4" s="8" t="inlineStr">
        <is>
          <t>Período</t>
        </is>
      </c>
      <c r="B4" s="8" t="inlineStr">
        <is>
          <t>4T25
(Real)</t>
        </is>
      </c>
      <c r="C4" s="8" t="inlineStr">
        <is>
          <t>1T26
(Real)</t>
        </is>
      </c>
      <c r="D4" s="8" t="inlineStr">
        <is>
          <t>2T26E</t>
        </is>
      </c>
      <c r="E4" s="8" t="inlineStr">
        <is>
          <t>3T26E</t>
        </is>
      </c>
      <c r="F4" s="8" t="inlineStr">
        <is>
          <t>4T26E</t>
        </is>
      </c>
      <c r="G4" s="8" t="inlineStr">
        <is>
          <t>1T27E</t>
        </is>
      </c>
      <c r="H4" s="8" t="inlineStr">
        <is>
          <t>2T27E</t>
        </is>
      </c>
      <c r="I4" s="8" t="inlineStr">
        <is>
          <t>3T27E</t>
        </is>
      </c>
      <c r="J4" s="8" t="inlineStr">
        <is>
          <t>4T27E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8" t="inlineStr">
        <is>
          <t>2031E</t>
        </is>
      </c>
      <c r="O4" s="8" t="inlineStr">
        <is>
          <t>2032E</t>
        </is>
      </c>
      <c r="P4" s="8" t="inlineStr">
        <is>
          <t>2033E</t>
        </is>
      </c>
      <c r="Q4" s="8" t="inlineStr">
        <is>
          <t>2034E</t>
        </is>
      </c>
      <c r="R4" s="8" t="inlineStr">
        <is>
          <t>2035E</t>
        </is>
      </c>
      <c r="S4" s="8" t="inlineStr">
        <is>
          <t>2036E</t>
        </is>
      </c>
      <c r="T4" s="8" t="inlineStr">
        <is>
          <t>2037E</t>
        </is>
      </c>
    </row>
    <row r="5">
      <c r="A5" s="5" t="inlineStr">
        <is>
          <t>Fator do período (fração de ano)</t>
        </is>
      </c>
      <c r="B5" s="9" t="n"/>
      <c r="C5" s="9" t="n">
        <v>0.25</v>
      </c>
      <c r="D5" s="9" t="n">
        <v>0.25</v>
      </c>
      <c r="E5" s="9" t="n">
        <v>0.25</v>
      </c>
      <c r="F5" s="9" t="n">
        <v>0.25</v>
      </c>
      <c r="G5" s="9" t="n">
        <v>0.25</v>
      </c>
      <c r="H5" s="9" t="n">
        <v>0.25</v>
      </c>
      <c r="I5" s="9" t="n">
        <v>0.25</v>
      </c>
      <c r="J5" s="9" t="n">
        <v>0.25</v>
      </c>
      <c r="K5" s="9" t="n">
        <v>1</v>
      </c>
      <c r="L5" s="9" t="n">
        <v>1</v>
      </c>
      <c r="M5" s="9" t="n">
        <v>1</v>
      </c>
      <c r="N5" s="9" t="n">
        <v>1</v>
      </c>
      <c r="O5" s="9" t="n">
        <v>1</v>
      </c>
      <c r="P5" s="9" t="n">
        <v>1</v>
      </c>
      <c r="Q5" s="9" t="n">
        <v>1</v>
      </c>
      <c r="R5" s="9" t="n">
        <v>1</v>
      </c>
      <c r="S5" s="9" t="n">
        <v>1</v>
      </c>
      <c r="T5" s="9" t="n">
        <v>1</v>
      </c>
    </row>
    <row r="7">
      <c r="A7" s="10" t="inlineStr">
        <is>
          <t>1. PREMISSAS (edite as células amarelas)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</row>
    <row r="8">
      <c r="A8" s="4" t="inlineStr">
        <is>
          <t>CDI (% a.a.)</t>
        </is>
      </c>
      <c r="B8" s="12" t="n"/>
      <c r="C8" s="13" t="n">
        <v>0.149</v>
      </c>
      <c r="D8" s="13" t="n">
        <v>0.149</v>
      </c>
      <c r="E8" s="13" t="n">
        <v>0.1475</v>
      </c>
      <c r="F8" s="13" t="n">
        <v>0.145</v>
      </c>
      <c r="G8" s="13" t="n">
        <v>0.14</v>
      </c>
      <c r="H8" s="13" t="n">
        <v>0.135</v>
      </c>
      <c r="I8" s="13" t="n">
        <v>0.13</v>
      </c>
      <c r="J8" s="13" t="n">
        <v>0.125</v>
      </c>
      <c r="K8" s="13" t="n">
        <v>0.11</v>
      </c>
      <c r="L8" s="13" t="n">
        <v>0.105</v>
      </c>
      <c r="M8" s="13" t="n">
        <v>0.1</v>
      </c>
      <c r="N8" s="13" t="n">
        <v>0.0975</v>
      </c>
      <c r="O8" s="13" t="n">
        <v>0.095</v>
      </c>
      <c r="P8" s="13" t="n">
        <v>0.095</v>
      </c>
      <c r="Q8" s="13" t="n">
        <v>0.095</v>
      </c>
      <c r="R8" s="13" t="n">
        <v>0.095</v>
      </c>
      <c r="S8" s="13" t="n">
        <v>0.095</v>
      </c>
      <c r="T8" s="13" t="n">
        <v>0.095</v>
      </c>
    </row>
    <row r="9">
      <c r="A9" s="4" t="inlineStr">
        <is>
          <t>Spread Debêntures VIVA11 (a.a.)</t>
        </is>
      </c>
      <c r="B9" s="13" t="n">
        <v>0.007</v>
      </c>
    </row>
    <row r="10">
      <c r="A10" s="4" t="inlineStr">
        <is>
          <t>Spread Outras dívidas (a.a.)</t>
        </is>
      </c>
      <c r="B10" s="13" t="n">
        <v>0.0105</v>
      </c>
    </row>
    <row r="11">
      <c r="A11" s="4" t="inlineStr">
        <is>
          <t>Refinanciamento Outras dívidas (% da amort.)</t>
        </is>
      </c>
      <c r="B11" s="13" t="n">
        <v>0</v>
      </c>
    </row>
    <row r="12">
      <c r="A12" s="4" t="inlineStr">
        <is>
          <t>Alíquota IR/CSLL</t>
        </is>
      </c>
      <c r="B12" s="13" t="n">
        <v>0.34</v>
      </c>
    </row>
    <row r="14">
      <c r="A14" s="10" t="inlineStr">
        <is>
          <t>2. DEBÊNTURES VIVA11  (100% CDI + 0,70% • amort. 50% 2029 / 50% 2030)</t>
        </is>
      </c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</row>
    <row r="15">
      <c r="A15" s="4" t="inlineStr">
        <is>
          <t>Saldo inicial</t>
        </is>
      </c>
      <c r="C15" s="14">
        <f>B18</f>
        <v/>
      </c>
      <c r="D15" s="14">
        <f>C18</f>
        <v/>
      </c>
      <c r="E15" s="14">
        <f>D18</f>
        <v/>
      </c>
      <c r="F15" s="14">
        <f>E18</f>
        <v/>
      </c>
      <c r="G15" s="14">
        <f>F18</f>
        <v/>
      </c>
      <c r="H15" s="14">
        <f>G18</f>
        <v/>
      </c>
      <c r="I15" s="14">
        <f>H18</f>
        <v/>
      </c>
      <c r="J15" s="14">
        <f>I18</f>
        <v/>
      </c>
      <c r="K15" s="14">
        <f>J18</f>
        <v/>
      </c>
      <c r="L15" s="14">
        <f>K18</f>
        <v/>
      </c>
      <c r="M15" s="14">
        <f>L18</f>
        <v/>
      </c>
      <c r="N15" s="14">
        <f>M18</f>
        <v/>
      </c>
      <c r="O15" s="14">
        <f>N18</f>
        <v/>
      </c>
      <c r="P15" s="14">
        <f>O18</f>
        <v/>
      </c>
      <c r="Q15" s="14">
        <f>P18</f>
        <v/>
      </c>
      <c r="R15" s="14">
        <f>Q18</f>
        <v/>
      </c>
      <c r="S15" s="14">
        <f>R18</f>
        <v/>
      </c>
      <c r="T15" s="14">
        <f>S18</f>
        <v/>
      </c>
    </row>
    <row r="16">
      <c r="A16" s="4" t="inlineStr">
        <is>
          <t>(+) Captações</t>
        </is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  <c r="L16" s="15" t="n">
        <v>0</v>
      </c>
      <c r="M16" s="15" t="n">
        <v>0</v>
      </c>
      <c r="N16" s="15" t="n">
        <v>0</v>
      </c>
      <c r="O16" s="15" t="n">
        <v>0</v>
      </c>
      <c r="P16" s="15" t="n">
        <v>0</v>
      </c>
      <c r="Q16" s="15" t="n">
        <v>0</v>
      </c>
      <c r="R16" s="15" t="n">
        <v>0</v>
      </c>
      <c r="S16" s="15" t="n">
        <v>0</v>
      </c>
      <c r="T16" s="15" t="n">
        <v>0</v>
      </c>
    </row>
    <row r="17">
      <c r="A17" s="4" t="inlineStr">
        <is>
          <t>(–) Amortizações</t>
        </is>
      </c>
      <c r="C17" s="15" t="n">
        <v>0</v>
      </c>
      <c r="D17" s="15" t="n">
        <v>0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5" t="n">
        <v>150</v>
      </c>
      <c r="M17" s="15" t="n">
        <v>150</v>
      </c>
      <c r="N17" s="15" t="n">
        <v>0</v>
      </c>
      <c r="O17" s="15" t="n">
        <v>0</v>
      </c>
      <c r="P17" s="15" t="n">
        <v>0</v>
      </c>
      <c r="Q17" s="15" t="n">
        <v>0</v>
      </c>
      <c r="R17" s="15" t="n">
        <v>0</v>
      </c>
      <c r="S17" s="15" t="n">
        <v>0</v>
      </c>
      <c r="T17" s="15" t="n">
        <v>0</v>
      </c>
    </row>
    <row r="18">
      <c r="A18" s="3">
        <f> Saldo final</f>
        <v/>
      </c>
      <c r="B18" s="16" t="n">
        <v>300</v>
      </c>
      <c r="C18" s="17">
        <f>C15+C16-C17</f>
        <v/>
      </c>
      <c r="D18" s="17">
        <f>D15+D16-D17</f>
        <v/>
      </c>
      <c r="E18" s="17">
        <f>E15+E16-E17</f>
        <v/>
      </c>
      <c r="F18" s="17">
        <f>F15+F16-F17</f>
        <v/>
      </c>
      <c r="G18" s="17">
        <f>G15+G16-G17</f>
        <v/>
      </c>
      <c r="H18" s="17">
        <f>H15+H16-H17</f>
        <v/>
      </c>
      <c r="I18" s="17">
        <f>I15+I16-I17</f>
        <v/>
      </c>
      <c r="J18" s="17">
        <f>J15+J16-J17</f>
        <v/>
      </c>
      <c r="K18" s="17">
        <f>K15+K16-K17</f>
        <v/>
      </c>
      <c r="L18" s="17">
        <f>L15+L16-L17</f>
        <v/>
      </c>
      <c r="M18" s="17">
        <f>M15+M16-M17</f>
        <v/>
      </c>
      <c r="N18" s="17">
        <f>N15+N16-N17</f>
        <v/>
      </c>
      <c r="O18" s="17">
        <f>O15+O16-O17</f>
        <v/>
      </c>
      <c r="P18" s="17">
        <f>P15+P16-P17</f>
        <v/>
      </c>
      <c r="Q18" s="17">
        <f>Q15+Q16-Q17</f>
        <v/>
      </c>
      <c r="R18" s="17">
        <f>R15+R16-R17</f>
        <v/>
      </c>
      <c r="S18" s="17">
        <f>S15+S16-S17</f>
        <v/>
      </c>
      <c r="T18" s="17">
        <f>T15+T16-T17</f>
        <v/>
      </c>
    </row>
    <row r="19">
      <c r="A19" s="5" t="inlineStr">
        <is>
          <t>Saldo médio</t>
        </is>
      </c>
      <c r="C19" s="18">
        <f>(C15+C18)/2</f>
        <v/>
      </c>
      <c r="D19" s="18">
        <f>(D15+D18)/2</f>
        <v/>
      </c>
      <c r="E19" s="18">
        <f>(E15+E18)/2</f>
        <v/>
      </c>
      <c r="F19" s="18">
        <f>(F15+F18)/2</f>
        <v/>
      </c>
      <c r="G19" s="18">
        <f>(G15+G18)/2</f>
        <v/>
      </c>
      <c r="H19" s="18">
        <f>(H15+H18)/2</f>
        <v/>
      </c>
      <c r="I19" s="18">
        <f>(I15+I18)/2</f>
        <v/>
      </c>
      <c r="J19" s="18">
        <f>(J15+J18)/2</f>
        <v/>
      </c>
      <c r="K19" s="18">
        <f>(K15+K18)/2</f>
        <v/>
      </c>
      <c r="L19" s="18">
        <f>(L15+L18)/2</f>
        <v/>
      </c>
      <c r="M19" s="18">
        <f>(M15+M18)/2</f>
        <v/>
      </c>
      <c r="N19" s="18">
        <f>(N15+N18)/2</f>
        <v/>
      </c>
      <c r="O19" s="18">
        <f>(O15+O18)/2</f>
        <v/>
      </c>
      <c r="P19" s="18">
        <f>(P15+P18)/2</f>
        <v/>
      </c>
      <c r="Q19" s="18">
        <f>(Q15+Q18)/2</f>
        <v/>
      </c>
      <c r="R19" s="18">
        <f>(R15+R18)/2</f>
        <v/>
      </c>
      <c r="S19" s="18">
        <f>(S15+S18)/2</f>
        <v/>
      </c>
      <c r="T19" s="18">
        <f>(T15+T18)/2</f>
        <v/>
      </c>
    </row>
    <row r="20">
      <c r="A20" s="4" t="inlineStr">
        <is>
          <t>Despesa de juros</t>
        </is>
      </c>
      <c r="C20" s="14">
        <f>C19*(C8+$B$9)*C5</f>
        <v/>
      </c>
      <c r="D20" s="14">
        <f>D19*(D8+$B$9)*D5</f>
        <v/>
      </c>
      <c r="E20" s="14">
        <f>E19*(E8+$B$9)*E5</f>
        <v/>
      </c>
      <c r="F20" s="14">
        <f>F19*(F8+$B$9)*F5</f>
        <v/>
      </c>
      <c r="G20" s="14">
        <f>G19*(G8+$B$9)*G5</f>
        <v/>
      </c>
      <c r="H20" s="14">
        <f>H19*(H8+$B$9)*H5</f>
        <v/>
      </c>
      <c r="I20" s="14">
        <f>I19*(I8+$B$9)*I5</f>
        <v/>
      </c>
      <c r="J20" s="14">
        <f>J19*(J8+$B$9)*J5</f>
        <v/>
      </c>
      <c r="K20" s="14">
        <f>K19*(K8+$B$9)*K5</f>
        <v/>
      </c>
      <c r="L20" s="14">
        <f>L19*(L8+$B$9)*L5</f>
        <v/>
      </c>
      <c r="M20" s="14">
        <f>M19*(M8+$B$9)*M5</f>
        <v/>
      </c>
      <c r="N20" s="14">
        <f>N19*(N8+$B$9)*N5</f>
        <v/>
      </c>
      <c r="O20" s="14">
        <f>O19*(O8+$B$9)*O5</f>
        <v/>
      </c>
      <c r="P20" s="14">
        <f>P19*(P8+$B$9)*P5</f>
        <v/>
      </c>
      <c r="Q20" s="14">
        <f>Q19*(Q8+$B$9)*Q5</f>
        <v/>
      </c>
      <c r="R20" s="14">
        <f>R19*(R8+$B$9)*R5</f>
        <v/>
      </c>
      <c r="S20" s="14">
        <f>S19*(S8+$B$9)*S5</f>
        <v/>
      </c>
      <c r="T20" s="14">
        <f>T19*(T8+$B$9)*T5</f>
        <v/>
      </c>
    </row>
    <row r="22">
      <c r="A22" s="10" t="inlineStr">
        <is>
          <t>3. OUTRAS DÍVIDAS  (capital de giro / FX (swap→CDI) • venc. 2026–1T27 • CDI+~1,05%)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</row>
    <row r="23">
      <c r="A23" s="4" t="inlineStr">
        <is>
          <t>Saldo inicial</t>
        </is>
      </c>
      <c r="C23" s="14">
        <f>B26</f>
        <v/>
      </c>
      <c r="D23" s="14">
        <f>C26</f>
        <v/>
      </c>
      <c r="E23" s="14">
        <f>D26</f>
        <v/>
      </c>
      <c r="F23" s="14">
        <f>E26</f>
        <v/>
      </c>
      <c r="G23" s="14">
        <f>F26</f>
        <v/>
      </c>
      <c r="H23" s="14">
        <f>G26</f>
        <v/>
      </c>
      <c r="I23" s="14">
        <f>H26</f>
        <v/>
      </c>
      <c r="J23" s="14">
        <f>I26</f>
        <v/>
      </c>
      <c r="K23" s="14">
        <f>J26</f>
        <v/>
      </c>
      <c r="L23" s="14">
        <f>K26</f>
        <v/>
      </c>
      <c r="M23" s="14">
        <f>L26</f>
        <v/>
      </c>
      <c r="N23" s="14">
        <f>M26</f>
        <v/>
      </c>
      <c r="O23" s="14">
        <f>N26</f>
        <v/>
      </c>
      <c r="P23" s="14">
        <f>O26</f>
        <v/>
      </c>
      <c r="Q23" s="14">
        <f>P26</f>
        <v/>
      </c>
      <c r="R23" s="14">
        <f>Q26</f>
        <v/>
      </c>
      <c r="S23" s="14">
        <f>R26</f>
        <v/>
      </c>
      <c r="T23" s="14">
        <f>S26</f>
        <v/>
      </c>
    </row>
    <row r="24">
      <c r="A24" s="4" t="inlineStr">
        <is>
          <t>(+) Captações</t>
        </is>
      </c>
      <c r="C24" s="15">
        <f>C25*$B$11</f>
        <v/>
      </c>
      <c r="D24" s="15">
        <f>D25*$B$11</f>
        <v/>
      </c>
      <c r="E24" s="15">
        <f>E25*$B$11</f>
        <v/>
      </c>
      <c r="F24" s="15">
        <f>F25*$B$11</f>
        <v/>
      </c>
      <c r="G24" s="15">
        <f>G25*$B$11</f>
        <v/>
      </c>
      <c r="H24" s="15">
        <f>H25*$B$11</f>
        <v/>
      </c>
      <c r="I24" s="15">
        <f>I25*$B$11</f>
        <v/>
      </c>
      <c r="J24" s="15">
        <f>J25*$B$11</f>
        <v/>
      </c>
      <c r="K24" s="15">
        <f>K25*$B$11</f>
        <v/>
      </c>
      <c r="L24" s="15">
        <f>L25*$B$11</f>
        <v/>
      </c>
      <c r="M24" s="15">
        <f>M25*$B$11</f>
        <v/>
      </c>
      <c r="N24" s="15">
        <f>N25*$B$11</f>
        <v/>
      </c>
      <c r="O24" s="15">
        <f>O25*$B$11</f>
        <v/>
      </c>
      <c r="P24" s="15">
        <f>P25*$B$11</f>
        <v/>
      </c>
      <c r="Q24" s="15">
        <f>Q25*$B$11</f>
        <v/>
      </c>
      <c r="R24" s="15">
        <f>R25*$B$11</f>
        <v/>
      </c>
      <c r="S24" s="15">
        <f>S25*$B$11</f>
        <v/>
      </c>
      <c r="T24" s="15">
        <f>T25*$B$11</f>
        <v/>
      </c>
    </row>
    <row r="25">
      <c r="A25" s="4" t="inlineStr">
        <is>
          <t>(–) Amortizações</t>
        </is>
      </c>
      <c r="C25" s="15" t="n">
        <v>0</v>
      </c>
      <c r="D25" s="15" t="n">
        <v>0</v>
      </c>
      <c r="E25" s="15" t="n">
        <v>80</v>
      </c>
      <c r="F25" s="15" t="n">
        <v>80</v>
      </c>
      <c r="G25" s="15" t="n">
        <v>71.3</v>
      </c>
      <c r="H25" s="15" t="n">
        <v>0</v>
      </c>
      <c r="I25" s="15" t="n">
        <v>0</v>
      </c>
      <c r="J25" s="15" t="n">
        <v>0</v>
      </c>
      <c r="K25" s="15" t="n">
        <v>0</v>
      </c>
      <c r="L25" s="15" t="n">
        <v>0</v>
      </c>
      <c r="M25" s="15" t="n">
        <v>0</v>
      </c>
      <c r="N25" s="15" t="n">
        <v>0</v>
      </c>
      <c r="O25" s="15" t="n">
        <v>0</v>
      </c>
      <c r="P25" s="15" t="n">
        <v>0</v>
      </c>
      <c r="Q25" s="15" t="n">
        <v>0</v>
      </c>
      <c r="R25" s="15" t="n">
        <v>0</v>
      </c>
      <c r="S25" s="15" t="n">
        <v>0</v>
      </c>
      <c r="T25" s="15" t="n">
        <v>0</v>
      </c>
    </row>
    <row r="26">
      <c r="A26" s="3">
        <f> Saldo final</f>
        <v/>
      </c>
      <c r="B26" s="16" t="n">
        <v>231.3</v>
      </c>
      <c r="C26" s="17">
        <f>C23+C24-C25</f>
        <v/>
      </c>
      <c r="D26" s="17">
        <f>D23+D24-D25</f>
        <v/>
      </c>
      <c r="E26" s="17">
        <f>E23+E24-E25</f>
        <v/>
      </c>
      <c r="F26" s="17">
        <f>F23+F24-F25</f>
        <v/>
      </c>
      <c r="G26" s="17">
        <f>G23+G24-G25</f>
        <v/>
      </c>
      <c r="H26" s="17">
        <f>H23+H24-H25</f>
        <v/>
      </c>
      <c r="I26" s="17">
        <f>I23+I24-I25</f>
        <v/>
      </c>
      <c r="J26" s="17">
        <f>J23+J24-J25</f>
        <v/>
      </c>
      <c r="K26" s="17">
        <f>K23+K24-K25</f>
        <v/>
      </c>
      <c r="L26" s="17">
        <f>L23+L24-L25</f>
        <v/>
      </c>
      <c r="M26" s="17">
        <f>M23+M24-M25</f>
        <v/>
      </c>
      <c r="N26" s="17">
        <f>N23+N24-N25</f>
        <v/>
      </c>
      <c r="O26" s="17">
        <f>O23+O24-O25</f>
        <v/>
      </c>
      <c r="P26" s="17">
        <f>P23+P24-P25</f>
        <v/>
      </c>
      <c r="Q26" s="17">
        <f>Q23+Q24-Q25</f>
        <v/>
      </c>
      <c r="R26" s="17">
        <f>R23+R24-R25</f>
        <v/>
      </c>
      <c r="S26" s="17">
        <f>S23+S24-S25</f>
        <v/>
      </c>
      <c r="T26" s="17">
        <f>T23+T24-T25</f>
        <v/>
      </c>
    </row>
    <row r="27">
      <c r="A27" s="5" t="inlineStr">
        <is>
          <t>Saldo médio</t>
        </is>
      </c>
      <c r="C27" s="18">
        <f>(C23+C26)/2</f>
        <v/>
      </c>
      <c r="D27" s="18">
        <f>(D23+D26)/2</f>
        <v/>
      </c>
      <c r="E27" s="18">
        <f>(E23+E26)/2</f>
        <v/>
      </c>
      <c r="F27" s="18">
        <f>(F23+F26)/2</f>
        <v/>
      </c>
      <c r="G27" s="18">
        <f>(G23+G26)/2</f>
        <v/>
      </c>
      <c r="H27" s="18">
        <f>(H23+H26)/2</f>
        <v/>
      </c>
      <c r="I27" s="18">
        <f>(I23+I26)/2</f>
        <v/>
      </c>
      <c r="J27" s="18">
        <f>(J23+J26)/2</f>
        <v/>
      </c>
      <c r="K27" s="18">
        <f>(K23+K26)/2</f>
        <v/>
      </c>
      <c r="L27" s="18">
        <f>(L23+L26)/2</f>
        <v/>
      </c>
      <c r="M27" s="18">
        <f>(M23+M26)/2</f>
        <v/>
      </c>
      <c r="N27" s="18">
        <f>(N23+N26)/2</f>
        <v/>
      </c>
      <c r="O27" s="18">
        <f>(O23+O26)/2</f>
        <v/>
      </c>
      <c r="P27" s="18">
        <f>(P23+P26)/2</f>
        <v/>
      </c>
      <c r="Q27" s="18">
        <f>(Q23+Q26)/2</f>
        <v/>
      </c>
      <c r="R27" s="18">
        <f>(R23+R26)/2</f>
        <v/>
      </c>
      <c r="S27" s="18">
        <f>(S23+S26)/2</f>
        <v/>
      </c>
      <c r="T27" s="18">
        <f>(T23+T26)/2</f>
        <v/>
      </c>
    </row>
    <row r="28">
      <c r="A28" s="4" t="inlineStr">
        <is>
          <t>Despesa de juros</t>
        </is>
      </c>
      <c r="C28" s="14">
        <f>C27*(C8+$B$10)*C5</f>
        <v/>
      </c>
      <c r="D28" s="14">
        <f>D27*(D8+$B$10)*D5</f>
        <v/>
      </c>
      <c r="E28" s="14">
        <f>E27*(E8+$B$10)*E5</f>
        <v/>
      </c>
      <c r="F28" s="14">
        <f>F27*(F8+$B$10)*F5</f>
        <v/>
      </c>
      <c r="G28" s="14">
        <f>G27*(G8+$B$10)*G5</f>
        <v/>
      </c>
      <c r="H28" s="14">
        <f>H27*(H8+$B$10)*H5</f>
        <v/>
      </c>
      <c r="I28" s="14">
        <f>I27*(I8+$B$10)*I5</f>
        <v/>
      </c>
      <c r="J28" s="14">
        <f>J27*(J8+$B$10)*J5</f>
        <v/>
      </c>
      <c r="K28" s="14">
        <f>K27*(K8+$B$10)*K5</f>
        <v/>
      </c>
      <c r="L28" s="14">
        <f>L27*(L8+$B$10)*L5</f>
        <v/>
      </c>
      <c r="M28" s="14">
        <f>M27*(M8+$B$10)*M5</f>
        <v/>
      </c>
      <c r="N28" s="14">
        <f>N27*(N8+$B$10)*N5</f>
        <v/>
      </c>
      <c r="O28" s="14">
        <f>O27*(O8+$B$10)*O5</f>
        <v/>
      </c>
      <c r="P28" s="14">
        <f>P27*(P8+$B$10)*P5</f>
        <v/>
      </c>
      <c r="Q28" s="14">
        <f>Q27*(Q8+$B$10)*Q5</f>
        <v/>
      </c>
      <c r="R28" s="14">
        <f>R27*(R8+$B$10)*R5</f>
        <v/>
      </c>
      <c r="S28" s="14">
        <f>S27*(S8+$B$10)*S5</f>
        <v/>
      </c>
      <c r="T28" s="14">
        <f>T27*(T8+$B$10)*T5</f>
        <v/>
      </c>
    </row>
    <row r="30">
      <c r="A30" s="10" t="inlineStr">
        <is>
          <t>4. DÍVIDA CONSOLIDADA</t>
        </is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</row>
    <row r="31">
      <c r="A31" s="3" t="inlineStr">
        <is>
          <t>Dívida bruta (fim do período)</t>
        </is>
      </c>
      <c r="B31" s="16">
        <f>B18+B26</f>
        <v/>
      </c>
      <c r="C31" s="17">
        <f>C18+C26</f>
        <v/>
      </c>
      <c r="D31" s="17">
        <f>D18+D26</f>
        <v/>
      </c>
      <c r="E31" s="17">
        <f>E18+E26</f>
        <v/>
      </c>
      <c r="F31" s="17">
        <f>F18+F26</f>
        <v/>
      </c>
      <c r="G31" s="17">
        <f>G18+G26</f>
        <v/>
      </c>
      <c r="H31" s="17">
        <f>H18+H26</f>
        <v/>
      </c>
      <c r="I31" s="17">
        <f>I18+I26</f>
        <v/>
      </c>
      <c r="J31" s="17">
        <f>J18+J26</f>
        <v/>
      </c>
      <c r="K31" s="17">
        <f>K18+K26</f>
        <v/>
      </c>
      <c r="L31" s="17">
        <f>L18+L26</f>
        <v/>
      </c>
      <c r="M31" s="17">
        <f>M18+M26</f>
        <v/>
      </c>
      <c r="N31" s="17">
        <f>N18+N26</f>
        <v/>
      </c>
      <c r="O31" s="17">
        <f>O18+O26</f>
        <v/>
      </c>
      <c r="P31" s="17">
        <f>P18+P26</f>
        <v/>
      </c>
      <c r="Q31" s="17">
        <f>Q18+Q26</f>
        <v/>
      </c>
      <c r="R31" s="17">
        <f>R18+R26</f>
        <v/>
      </c>
      <c r="S31" s="17">
        <f>S18+S26</f>
        <v/>
      </c>
      <c r="T31" s="17">
        <f>T18+T26</f>
        <v/>
      </c>
    </row>
    <row r="32">
      <c r="A32" s="3" t="inlineStr">
        <is>
          <t>Despesa de juros total (dívida)</t>
        </is>
      </c>
      <c r="C32" s="17">
        <f>C20+C28</f>
        <v/>
      </c>
      <c r="D32" s="17">
        <f>D20+D28</f>
        <v/>
      </c>
      <c r="E32" s="17">
        <f>E20+E28</f>
        <v/>
      </c>
      <c r="F32" s="17">
        <f>F20+F28</f>
        <v/>
      </c>
      <c r="G32" s="17">
        <f>G20+G28</f>
        <v/>
      </c>
      <c r="H32" s="17">
        <f>H20+H28</f>
        <v/>
      </c>
      <c r="I32" s="17">
        <f>I20+I28</f>
        <v/>
      </c>
      <c r="J32" s="17">
        <f>J20+J28</f>
        <v/>
      </c>
      <c r="K32" s="17">
        <f>K20+K28</f>
        <v/>
      </c>
      <c r="L32" s="17">
        <f>L20+L28</f>
        <v/>
      </c>
      <c r="M32" s="17">
        <f>M20+M28</f>
        <v/>
      </c>
      <c r="N32" s="17">
        <f>N20+N28</f>
        <v/>
      </c>
      <c r="O32" s="17">
        <f>O20+O28</f>
        <v/>
      </c>
      <c r="P32" s="17">
        <f>P20+P28</f>
        <v/>
      </c>
      <c r="Q32" s="17">
        <f>Q20+Q28</f>
        <v/>
      </c>
      <c r="R32" s="17">
        <f>R20+R28</f>
        <v/>
      </c>
      <c r="S32" s="17">
        <f>S20+S28</f>
        <v/>
      </c>
      <c r="T32" s="17">
        <f>T20+T28</f>
        <v/>
      </c>
    </row>
    <row r="34">
      <c r="A34" s="10" t="inlineStr">
        <is>
          <t>5. CAIXA E DÍVIDA LÍQUIDA</t>
        </is>
      </c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</row>
    <row r="35">
      <c r="A35" s="4" t="inlineStr">
        <is>
          <t>Caixa inicial</t>
        </is>
      </c>
      <c r="D35" s="14">
        <f>C41</f>
        <v/>
      </c>
      <c r="E35" s="14">
        <f>D41</f>
        <v/>
      </c>
      <c r="F35" s="14">
        <f>E41</f>
        <v/>
      </c>
      <c r="G35" s="14">
        <f>F41</f>
        <v/>
      </c>
      <c r="H35" s="14">
        <f>G41</f>
        <v/>
      </c>
      <c r="I35" s="14">
        <f>H41</f>
        <v/>
      </c>
      <c r="J35" s="14">
        <f>I41</f>
        <v/>
      </c>
      <c r="K35" s="14">
        <f>J41</f>
        <v/>
      </c>
      <c r="L35" s="14">
        <f>K41</f>
        <v/>
      </c>
      <c r="M35" s="14">
        <f>L41</f>
        <v/>
      </c>
      <c r="N35" s="14">
        <f>M41</f>
        <v/>
      </c>
      <c r="O35" s="14">
        <f>N41</f>
        <v/>
      </c>
      <c r="P35" s="14">
        <f>O41</f>
        <v/>
      </c>
      <c r="Q35" s="14">
        <f>P41</f>
        <v/>
      </c>
      <c r="R35" s="14">
        <f>Q41</f>
        <v/>
      </c>
      <c r="S35" s="14">
        <f>R41</f>
        <v/>
      </c>
      <c r="T35" s="14">
        <f>S41</f>
        <v/>
      </c>
    </row>
    <row r="36">
      <c r="A36" s="4" t="inlineStr">
        <is>
          <t>(+) FCF livre pré-financiamento (LINK do seu modelo)</t>
        </is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  <c r="L36" s="15" t="n">
        <v>0</v>
      </c>
      <c r="M36" s="15" t="n">
        <v>0</v>
      </c>
      <c r="N36" s="15" t="n">
        <v>0</v>
      </c>
      <c r="O36" s="15" t="n">
        <v>0</v>
      </c>
      <c r="P36" s="15" t="n">
        <v>0</v>
      </c>
      <c r="Q36" s="15" t="n">
        <v>0</v>
      </c>
      <c r="R36" s="15" t="n">
        <v>0</v>
      </c>
      <c r="S36" s="15" t="n">
        <v>0</v>
      </c>
      <c r="T36" s="15" t="n">
        <v>0</v>
      </c>
    </row>
    <row r="37">
      <c r="A37" s="4" t="inlineStr">
        <is>
          <t>(–) Dividendos / JCP (input)</t>
        </is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0</v>
      </c>
      <c r="T37" s="15" t="n">
        <v>0</v>
      </c>
    </row>
    <row r="38">
      <c r="A38" s="5" t="inlineStr">
        <is>
          <t>(–) Juros pagos</t>
        </is>
      </c>
      <c r="C38" s="18">
        <f>C32</f>
        <v/>
      </c>
      <c r="D38" s="18">
        <f>D32</f>
        <v/>
      </c>
      <c r="E38" s="18">
        <f>E32</f>
        <v/>
      </c>
      <c r="F38" s="18">
        <f>F32</f>
        <v/>
      </c>
      <c r="G38" s="18">
        <f>G32</f>
        <v/>
      </c>
      <c r="H38" s="18">
        <f>H32</f>
        <v/>
      </c>
      <c r="I38" s="18">
        <f>I32</f>
        <v/>
      </c>
      <c r="J38" s="18">
        <f>J32</f>
        <v/>
      </c>
      <c r="K38" s="18">
        <f>K32</f>
        <v/>
      </c>
      <c r="L38" s="18">
        <f>L32</f>
        <v/>
      </c>
      <c r="M38" s="18">
        <f>M32</f>
        <v/>
      </c>
      <c r="N38" s="18">
        <f>N32</f>
        <v/>
      </c>
      <c r="O38" s="18">
        <f>O32</f>
        <v/>
      </c>
      <c r="P38" s="18">
        <f>P32</f>
        <v/>
      </c>
      <c r="Q38" s="18">
        <f>Q32</f>
        <v/>
      </c>
      <c r="R38" s="18">
        <f>R32</f>
        <v/>
      </c>
      <c r="S38" s="18">
        <f>S32</f>
        <v/>
      </c>
      <c r="T38" s="18">
        <f>T32</f>
        <v/>
      </c>
    </row>
    <row r="39">
      <c r="A39" s="5" t="inlineStr">
        <is>
          <t>(–) Amortizações totais</t>
        </is>
      </c>
      <c r="C39" s="18">
        <f>C17+C25</f>
        <v/>
      </c>
      <c r="D39" s="18">
        <f>D17+D25</f>
        <v/>
      </c>
      <c r="E39" s="18">
        <f>E17+E25</f>
        <v/>
      </c>
      <c r="F39" s="18">
        <f>F17+F25</f>
        <v/>
      </c>
      <c r="G39" s="18">
        <f>G17+G25</f>
        <v/>
      </c>
      <c r="H39" s="18">
        <f>H17+H25</f>
        <v/>
      </c>
      <c r="I39" s="18">
        <f>I17+I25</f>
        <v/>
      </c>
      <c r="J39" s="18">
        <f>J17+J25</f>
        <v/>
      </c>
      <c r="K39" s="18">
        <f>K17+K25</f>
        <v/>
      </c>
      <c r="L39" s="18">
        <f>L17+L25</f>
        <v/>
      </c>
      <c r="M39" s="18">
        <f>M17+M25</f>
        <v/>
      </c>
      <c r="N39" s="18">
        <f>N17+N25</f>
        <v/>
      </c>
      <c r="O39" s="18">
        <f>O17+O25</f>
        <v/>
      </c>
      <c r="P39" s="18">
        <f>P17+P25</f>
        <v/>
      </c>
      <c r="Q39" s="18">
        <f>Q17+Q25</f>
        <v/>
      </c>
      <c r="R39" s="18">
        <f>R17+R25</f>
        <v/>
      </c>
      <c r="S39" s="18">
        <f>S17+S25</f>
        <v/>
      </c>
      <c r="T39" s="18">
        <f>T17+T25</f>
        <v/>
      </c>
    </row>
    <row r="40">
      <c r="A40" s="5" t="inlineStr">
        <is>
          <t>(+) Captações totais</t>
        </is>
      </c>
      <c r="C40" s="18">
        <f>C16+C24</f>
        <v/>
      </c>
      <c r="D40" s="18">
        <f>D16+D24</f>
        <v/>
      </c>
      <c r="E40" s="18">
        <f>E16+E24</f>
        <v/>
      </c>
      <c r="F40" s="18">
        <f>F16+F24</f>
        <v/>
      </c>
      <c r="G40" s="18">
        <f>G16+G24</f>
        <v/>
      </c>
      <c r="H40" s="18">
        <f>H16+H24</f>
        <v/>
      </c>
      <c r="I40" s="18">
        <f>I16+I24</f>
        <v/>
      </c>
      <c r="J40" s="18">
        <f>J16+J24</f>
        <v/>
      </c>
      <c r="K40" s="18">
        <f>K16+K24</f>
        <v/>
      </c>
      <c r="L40" s="18">
        <f>L16+L24</f>
        <v/>
      </c>
      <c r="M40" s="18">
        <f>M16+M24</f>
        <v/>
      </c>
      <c r="N40" s="18">
        <f>N16+N24</f>
        <v/>
      </c>
      <c r="O40" s="18">
        <f>O16+O24</f>
        <v/>
      </c>
      <c r="P40" s="18">
        <f>P16+P24</f>
        <v/>
      </c>
      <c r="Q40" s="18">
        <f>Q16+Q24</f>
        <v/>
      </c>
      <c r="R40" s="18">
        <f>R16+R24</f>
        <v/>
      </c>
      <c r="S40" s="18">
        <f>S16+S24</f>
        <v/>
      </c>
      <c r="T40" s="18">
        <f>T16+T24</f>
        <v/>
      </c>
    </row>
    <row r="41">
      <c r="A41" s="3">
        <f> Caixa e equivalentes (fim)</f>
        <v/>
      </c>
      <c r="B41" s="16" t="n">
        <v>398.6</v>
      </c>
      <c r="C41" s="16" t="n">
        <v>284.7</v>
      </c>
      <c r="D41" s="17">
        <f>D35+D36-D37-D38-D39+D40</f>
        <v/>
      </c>
      <c r="E41" s="17">
        <f>E35+E36-E37-E38-E39+E40</f>
        <v/>
      </c>
      <c r="F41" s="17">
        <f>F35+F36-F37-F38-F39+F40</f>
        <v/>
      </c>
      <c r="G41" s="17">
        <f>G35+G36-G37-G38-G39+G40</f>
        <v/>
      </c>
      <c r="H41" s="17">
        <f>H35+H36-H37-H38-H39+H40</f>
        <v/>
      </c>
      <c r="I41" s="17">
        <f>I35+I36-I37-I38-I39+I40</f>
        <v/>
      </c>
      <c r="J41" s="17">
        <f>J35+J36-J37-J38-J39+J40</f>
        <v/>
      </c>
      <c r="K41" s="17">
        <f>K35+K36-K37-K38-K39+K40</f>
        <v/>
      </c>
      <c r="L41" s="17">
        <f>L35+L36-L37-L38-L39+L40</f>
        <v/>
      </c>
      <c r="M41" s="17">
        <f>M35+M36-M37-M38-M39+M40</f>
        <v/>
      </c>
      <c r="N41" s="17">
        <f>N35+N36-N37-N38-N39+N40</f>
        <v/>
      </c>
      <c r="O41" s="17">
        <f>O35+O36-O37-O38-O39+O40</f>
        <v/>
      </c>
      <c r="P41" s="17">
        <f>P35+P36-P37-P38-P39+P40</f>
        <v/>
      </c>
      <c r="Q41" s="17">
        <f>Q35+Q36-Q37-Q38-Q39+Q40</f>
        <v/>
      </c>
      <c r="R41" s="17">
        <f>R35+R36-R37-R38-R39+R40</f>
        <v/>
      </c>
      <c r="S41" s="17">
        <f>S35+S36-S37-S38-S39+S40</f>
        <v/>
      </c>
      <c r="T41" s="17">
        <f>T35+T36-T37-T38-T39+T40</f>
        <v/>
      </c>
    </row>
    <row r="42">
      <c r="A42" s="3" t="inlineStr">
        <is>
          <t>Dívida líquida</t>
        </is>
      </c>
      <c r="B42" s="16">
        <f>B31-B41</f>
        <v/>
      </c>
      <c r="C42" s="16">
        <f>C31-C41</f>
        <v/>
      </c>
      <c r="D42" s="17">
        <f>D31-D41</f>
        <v/>
      </c>
      <c r="E42" s="17">
        <f>E31-E41</f>
        <v/>
      </c>
      <c r="F42" s="17">
        <f>F31-F41</f>
        <v/>
      </c>
      <c r="G42" s="17">
        <f>G31-G41</f>
        <v/>
      </c>
      <c r="H42" s="17">
        <f>H31-H41</f>
        <v/>
      </c>
      <c r="I42" s="17">
        <f>I31-I41</f>
        <v/>
      </c>
      <c r="J42" s="17">
        <f>J31-J41</f>
        <v/>
      </c>
      <c r="K42" s="17">
        <f>K31-K41</f>
        <v/>
      </c>
      <c r="L42" s="17">
        <f>L31-L41</f>
        <v/>
      </c>
      <c r="M42" s="17">
        <f>M31-M41</f>
        <v/>
      </c>
      <c r="N42" s="17">
        <f>N31-N41</f>
        <v/>
      </c>
      <c r="O42" s="17">
        <f>O31-O41</f>
        <v/>
      </c>
      <c r="P42" s="17">
        <f>P31-P41</f>
        <v/>
      </c>
      <c r="Q42" s="17">
        <f>Q31-Q41</f>
        <v/>
      </c>
      <c r="R42" s="17">
        <f>R31-R41</f>
        <v/>
      </c>
      <c r="S42" s="17">
        <f>S31-S41</f>
        <v/>
      </c>
      <c r="T42" s="17">
        <f>T31-T41</f>
        <v/>
      </c>
    </row>
    <row r="44">
      <c r="A44" s="10" t="inlineStr">
        <is>
          <t>6. INTERFACE P/ VALUATION  (referencie estas linhas no seu modelo)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</row>
    <row r="45">
      <c r="A45" s="3" t="inlineStr">
        <is>
          <t>Dívida bruta (fim)</t>
        </is>
      </c>
      <c r="B45" s="19">
        <f>B31</f>
        <v/>
      </c>
      <c r="C45" s="19">
        <f>C31</f>
        <v/>
      </c>
      <c r="D45" s="19">
        <f>D31</f>
        <v/>
      </c>
      <c r="E45" s="19">
        <f>E31</f>
        <v/>
      </c>
      <c r="F45" s="19">
        <f>F31</f>
        <v/>
      </c>
      <c r="G45" s="19">
        <f>G31</f>
        <v/>
      </c>
      <c r="H45" s="19">
        <f>H31</f>
        <v/>
      </c>
      <c r="I45" s="19">
        <f>I31</f>
        <v/>
      </c>
      <c r="J45" s="19">
        <f>J31</f>
        <v/>
      </c>
      <c r="K45" s="19">
        <f>K31</f>
        <v/>
      </c>
      <c r="L45" s="19">
        <f>L31</f>
        <v/>
      </c>
      <c r="M45" s="19">
        <f>M31</f>
        <v/>
      </c>
      <c r="N45" s="19">
        <f>N31</f>
        <v/>
      </c>
      <c r="O45" s="19">
        <f>O31</f>
        <v/>
      </c>
      <c r="P45" s="19">
        <f>P31</f>
        <v/>
      </c>
      <c r="Q45" s="19">
        <f>Q31</f>
        <v/>
      </c>
      <c r="R45" s="19">
        <f>R31</f>
        <v/>
      </c>
      <c r="S45" s="19">
        <f>S31</f>
        <v/>
      </c>
      <c r="T45" s="19">
        <f>T31</f>
        <v/>
      </c>
    </row>
    <row r="46">
      <c r="A46" s="3" t="inlineStr">
        <is>
          <t>Caixa e equivalentes (fim)</t>
        </is>
      </c>
      <c r="B46" s="19">
        <f>B41</f>
        <v/>
      </c>
      <c r="C46" s="19">
        <f>C41</f>
        <v/>
      </c>
      <c r="D46" s="19">
        <f>D41</f>
        <v/>
      </c>
      <c r="E46" s="19">
        <f>E41</f>
        <v/>
      </c>
      <c r="F46" s="19">
        <f>F41</f>
        <v/>
      </c>
      <c r="G46" s="19">
        <f>G41</f>
        <v/>
      </c>
      <c r="H46" s="19">
        <f>H41</f>
        <v/>
      </c>
      <c r="I46" s="19">
        <f>I41</f>
        <v/>
      </c>
      <c r="J46" s="19">
        <f>J41</f>
        <v/>
      </c>
      <c r="K46" s="19">
        <f>K41</f>
        <v/>
      </c>
      <c r="L46" s="19">
        <f>L41</f>
        <v/>
      </c>
      <c r="M46" s="19">
        <f>M41</f>
        <v/>
      </c>
      <c r="N46" s="19">
        <f>N41</f>
        <v/>
      </c>
      <c r="O46" s="19">
        <f>O41</f>
        <v/>
      </c>
      <c r="P46" s="19">
        <f>P41</f>
        <v/>
      </c>
      <c r="Q46" s="19">
        <f>Q41</f>
        <v/>
      </c>
      <c r="R46" s="19">
        <f>R41</f>
        <v/>
      </c>
      <c r="S46" s="19">
        <f>S41</f>
        <v/>
      </c>
      <c r="T46" s="19">
        <f>T41</f>
        <v/>
      </c>
    </row>
    <row r="47">
      <c r="A47" s="3" t="inlineStr">
        <is>
          <t>Dívida líquida (fim)</t>
        </is>
      </c>
      <c r="B47" s="19">
        <f>B42</f>
        <v/>
      </c>
      <c r="C47" s="19">
        <f>C42</f>
        <v/>
      </c>
      <c r="D47" s="19">
        <f>D42</f>
        <v/>
      </c>
      <c r="E47" s="19">
        <f>E42</f>
        <v/>
      </c>
      <c r="F47" s="19">
        <f>F42</f>
        <v/>
      </c>
      <c r="G47" s="19">
        <f>G42</f>
        <v/>
      </c>
      <c r="H47" s="19">
        <f>H42</f>
        <v/>
      </c>
      <c r="I47" s="19">
        <f>I42</f>
        <v/>
      </c>
      <c r="J47" s="19">
        <f>J42</f>
        <v/>
      </c>
      <c r="K47" s="19">
        <f>K42</f>
        <v/>
      </c>
      <c r="L47" s="19">
        <f>L42</f>
        <v/>
      </c>
      <c r="M47" s="19">
        <f>M42</f>
        <v/>
      </c>
      <c r="N47" s="19">
        <f>N42</f>
        <v/>
      </c>
      <c r="O47" s="19">
        <f>O42</f>
        <v/>
      </c>
      <c r="P47" s="19">
        <f>P42</f>
        <v/>
      </c>
      <c r="Q47" s="19">
        <f>Q42</f>
        <v/>
      </c>
      <c r="R47" s="19">
        <f>R42</f>
        <v/>
      </c>
      <c r="S47" s="19">
        <f>S42</f>
        <v/>
      </c>
      <c r="T47" s="19">
        <f>T42</f>
        <v/>
      </c>
    </row>
    <row r="48">
      <c r="A48" s="4" t="inlineStr">
        <is>
          <t>Amortizações (saída — financiamento)</t>
        </is>
      </c>
      <c r="C48" s="20">
        <f>C17+C25</f>
        <v/>
      </c>
      <c r="D48" s="20">
        <f>D17+D25</f>
        <v/>
      </c>
      <c r="E48" s="20">
        <f>E17+E25</f>
        <v/>
      </c>
      <c r="F48" s="20">
        <f>F17+F25</f>
        <v/>
      </c>
      <c r="G48" s="20">
        <f>G17+G25</f>
        <v/>
      </c>
      <c r="H48" s="20">
        <f>H17+H25</f>
        <v/>
      </c>
      <c r="I48" s="20">
        <f>I17+I25</f>
        <v/>
      </c>
      <c r="J48" s="20">
        <f>J17+J25</f>
        <v/>
      </c>
      <c r="K48" s="20">
        <f>K17+K25</f>
        <v/>
      </c>
      <c r="L48" s="20">
        <f>L17+L25</f>
        <v/>
      </c>
      <c r="M48" s="20">
        <f>M17+M25</f>
        <v/>
      </c>
      <c r="N48" s="20">
        <f>N17+N25</f>
        <v/>
      </c>
      <c r="O48" s="20">
        <f>O17+O25</f>
        <v/>
      </c>
      <c r="P48" s="20">
        <f>P17+P25</f>
        <v/>
      </c>
      <c r="Q48" s="20">
        <f>Q17+Q25</f>
        <v/>
      </c>
      <c r="R48" s="20">
        <f>R17+R25</f>
        <v/>
      </c>
      <c r="S48" s="20">
        <f>S17+S25</f>
        <v/>
      </c>
      <c r="T48" s="20">
        <f>T17+T25</f>
        <v/>
      </c>
    </row>
    <row r="49">
      <c r="A49" s="4" t="inlineStr">
        <is>
          <t>Captações (entrada — financiamento)</t>
        </is>
      </c>
      <c r="C49" s="20">
        <f>C16+C24</f>
        <v/>
      </c>
      <c r="D49" s="20">
        <f>D16+D24</f>
        <v/>
      </c>
      <c r="E49" s="20">
        <f>E16+E24</f>
        <v/>
      </c>
      <c r="F49" s="20">
        <f>F16+F24</f>
        <v/>
      </c>
      <c r="G49" s="20">
        <f>G16+G24</f>
        <v/>
      </c>
      <c r="H49" s="20">
        <f>H16+H24</f>
        <v/>
      </c>
      <c r="I49" s="20">
        <f>I16+I24</f>
        <v/>
      </c>
      <c r="J49" s="20">
        <f>J16+J24</f>
        <v/>
      </c>
      <c r="K49" s="20">
        <f>K16+K24</f>
        <v/>
      </c>
      <c r="L49" s="20">
        <f>L16+L24</f>
        <v/>
      </c>
      <c r="M49" s="20">
        <f>M16+M24</f>
        <v/>
      </c>
      <c r="N49" s="20">
        <f>N16+N24</f>
        <v/>
      </c>
      <c r="O49" s="20">
        <f>O16+O24</f>
        <v/>
      </c>
      <c r="P49" s="20">
        <f>P16+P24</f>
        <v/>
      </c>
      <c r="Q49" s="20">
        <f>Q16+Q24</f>
        <v/>
      </c>
      <c r="R49" s="20">
        <f>R16+R24</f>
        <v/>
      </c>
      <c r="S49" s="20">
        <f>S16+S24</f>
        <v/>
      </c>
      <c r="T49" s="20">
        <f>T16+T24</f>
        <v/>
      </c>
    </row>
    <row r="50">
      <c r="A50" s="3" t="inlineStr">
        <is>
          <t>Despesa de juros (P&amp;L, competência)</t>
        </is>
      </c>
      <c r="C50" s="19">
        <f>C32</f>
        <v/>
      </c>
      <c r="D50" s="19">
        <f>D32</f>
        <v/>
      </c>
      <c r="E50" s="19">
        <f>E32</f>
        <v/>
      </c>
      <c r="F50" s="19">
        <f>F32</f>
        <v/>
      </c>
      <c r="G50" s="19">
        <f>G32</f>
        <v/>
      </c>
      <c r="H50" s="19">
        <f>H32</f>
        <v/>
      </c>
      <c r="I50" s="19">
        <f>I32</f>
        <v/>
      </c>
      <c r="J50" s="19">
        <f>J32</f>
        <v/>
      </c>
      <c r="K50" s="19">
        <f>K32</f>
        <v/>
      </c>
      <c r="L50" s="19">
        <f>L32</f>
        <v/>
      </c>
      <c r="M50" s="19">
        <f>M32</f>
        <v/>
      </c>
      <c r="N50" s="19">
        <f>N32</f>
        <v/>
      </c>
      <c r="O50" s="19">
        <f>O32</f>
        <v/>
      </c>
      <c r="P50" s="19">
        <f>P32</f>
        <v/>
      </c>
      <c r="Q50" s="19">
        <f>Q32</f>
        <v/>
      </c>
      <c r="R50" s="19">
        <f>R32</f>
        <v/>
      </c>
      <c r="S50" s="19">
        <f>S32</f>
        <v/>
      </c>
      <c r="T50" s="19">
        <f>T32</f>
        <v/>
      </c>
    </row>
    <row r="51">
      <c r="A51" s="4" t="inlineStr">
        <is>
          <t>Juros após IR</t>
        </is>
      </c>
      <c r="C51" s="20">
        <f>C32*(1-$B$12)</f>
        <v/>
      </c>
      <c r="D51" s="20">
        <f>D32*(1-$B$12)</f>
        <v/>
      </c>
      <c r="E51" s="20">
        <f>E32*(1-$B$12)</f>
        <v/>
      </c>
      <c r="F51" s="20">
        <f>F32*(1-$B$12)</f>
        <v/>
      </c>
      <c r="G51" s="20">
        <f>G32*(1-$B$12)</f>
        <v/>
      </c>
      <c r="H51" s="20">
        <f>H32*(1-$B$12)</f>
        <v/>
      </c>
      <c r="I51" s="20">
        <f>I32*(1-$B$12)</f>
        <v/>
      </c>
      <c r="J51" s="20">
        <f>J32*(1-$B$12)</f>
        <v/>
      </c>
      <c r="K51" s="20">
        <f>K32*(1-$B$12)</f>
        <v/>
      </c>
      <c r="L51" s="20">
        <f>L32*(1-$B$12)</f>
        <v/>
      </c>
      <c r="M51" s="20">
        <f>M32*(1-$B$12)</f>
        <v/>
      </c>
      <c r="N51" s="20">
        <f>N32*(1-$B$12)</f>
        <v/>
      </c>
      <c r="O51" s="20">
        <f>O32*(1-$B$12)</f>
        <v/>
      </c>
      <c r="P51" s="20">
        <f>P32*(1-$B$12)</f>
        <v/>
      </c>
      <c r="Q51" s="20">
        <f>Q32*(1-$B$12)</f>
        <v/>
      </c>
      <c r="R51" s="20">
        <f>R32*(1-$B$12)</f>
        <v/>
      </c>
      <c r="S51" s="20">
        <f>S32*(1-$B$12)</f>
        <v/>
      </c>
      <c r="T51" s="20">
        <f>T32*(1-$B$12)</f>
        <v/>
      </c>
    </row>
    <row r="52">
      <c r="A52" s="4" t="inlineStr">
        <is>
          <t>Economia fiscal dos juros (tax shield)</t>
        </is>
      </c>
      <c r="C52" s="20">
        <f>C32*$B$12</f>
        <v/>
      </c>
      <c r="D52" s="20">
        <f>D32*$B$12</f>
        <v/>
      </c>
      <c r="E52" s="20">
        <f>E32*$B$12</f>
        <v/>
      </c>
      <c r="F52" s="20">
        <f>F32*$B$12</f>
        <v/>
      </c>
      <c r="G52" s="20">
        <f>G32*$B$12</f>
        <v/>
      </c>
      <c r="H52" s="20">
        <f>H32*$B$12</f>
        <v/>
      </c>
      <c r="I52" s="20">
        <f>I32*$B$12</f>
        <v/>
      </c>
      <c r="J52" s="20">
        <f>J32*$B$12</f>
        <v/>
      </c>
      <c r="K52" s="20">
        <f>K32*$B$12</f>
        <v/>
      </c>
      <c r="L52" s="20">
        <f>L32*$B$12</f>
        <v/>
      </c>
      <c r="M52" s="20">
        <f>M32*$B$12</f>
        <v/>
      </c>
      <c r="N52" s="20">
        <f>N32*$B$12</f>
        <v/>
      </c>
      <c r="O52" s="20">
        <f>O32*$B$12</f>
        <v/>
      </c>
      <c r="P52" s="20">
        <f>P32*$B$12</f>
        <v/>
      </c>
      <c r="Q52" s="20">
        <f>Q32*$B$12</f>
        <v/>
      </c>
      <c r="R52" s="20">
        <f>R32*$B$12</f>
        <v/>
      </c>
      <c r="S52" s="20">
        <f>S32*$B$12</f>
        <v/>
      </c>
      <c r="T52" s="20">
        <f>T32*$B$12</f>
        <v/>
      </c>
    </row>
    <row r="53">
      <c r="A53" s="4" t="inlineStr">
        <is>
          <t>EBITDA LTM (input opcional — link do seu modelo)</t>
        </is>
      </c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</row>
    <row r="54">
      <c r="A54" s="4" t="inlineStr">
        <is>
          <t>Dívida líquida / EBITDA (x)</t>
        </is>
      </c>
      <c r="B54" s="21">
        <f>IFERROR(B47/B53,"")</f>
        <v/>
      </c>
      <c r="C54" s="21">
        <f>IFERROR(C47/C53,"")</f>
        <v/>
      </c>
      <c r="D54" s="21">
        <f>IFERROR(D47/D53,"")</f>
        <v/>
      </c>
      <c r="E54" s="21">
        <f>IFERROR(E47/E53,"")</f>
        <v/>
      </c>
      <c r="F54" s="21">
        <f>IFERROR(F47/F53,"")</f>
        <v/>
      </c>
      <c r="G54" s="21">
        <f>IFERROR(G47/G53,"")</f>
        <v/>
      </c>
      <c r="H54" s="21">
        <f>IFERROR(H47/H53,"")</f>
        <v/>
      </c>
      <c r="I54" s="21">
        <f>IFERROR(I47/I53,"")</f>
        <v/>
      </c>
      <c r="J54" s="21">
        <f>IFERROR(J47/J53,"")</f>
        <v/>
      </c>
      <c r="K54" s="21">
        <f>IFERROR(K47/K53,"")</f>
        <v/>
      </c>
      <c r="L54" s="21">
        <f>IFERROR(L47/L53,"")</f>
        <v/>
      </c>
      <c r="M54" s="21">
        <f>IFERROR(M47/M53,"")</f>
        <v/>
      </c>
      <c r="N54" s="21">
        <f>IFERROR(N47/N53,"")</f>
        <v/>
      </c>
      <c r="O54" s="21">
        <f>IFERROR(O47/O53,"")</f>
        <v/>
      </c>
      <c r="P54" s="21">
        <f>IFERROR(P47/P53,"")</f>
        <v/>
      </c>
      <c r="Q54" s="21">
        <f>IFERROR(Q47/Q53,"")</f>
        <v/>
      </c>
      <c r="R54" s="21">
        <f>IFERROR(R47/R53,"")</f>
        <v/>
      </c>
      <c r="S54" s="21">
        <f>IFERROR(S47/S53,"")</f>
        <v/>
      </c>
      <c r="T54" s="21">
        <f>IFERROR(T47/T53,"")</f>
        <v/>
      </c>
    </row>
    <row r="56">
      <c r="A56" s="5" t="inlineStr">
        <is>
          <t>Nota: juros em regime de competência (proxy p/ caixa). Ligue a linha de FCF livre ao seu modelo para o caixa e a dívida líquida rodarem sozinhos. Preencha as amortizações/captações reais nas células amarelas.</t>
        </is>
      </c>
    </row>
  </sheetData>
  <mergeCells count="1">
    <mergeCell ref="A56:T5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2026-07-18T18:56:36Z</dcterms:created>
  <dcterms:modified xsi:type="dcterms:W3CDTF">2026-07-18T18:56:36Z</dcterms:modified>
</cp:coreProperties>
</file>