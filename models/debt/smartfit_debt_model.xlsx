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Modelo_Dívi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"/>
    <numFmt numFmtId="165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sz val="10"/>
    </font>
    <font>
      <sz val="10"/>
    </font>
    <font>
      <i val="1"/>
      <color rgb="00808080"/>
      <sz val="8"/>
    </font>
    <font>
      <i val="1"/>
      <color rgb="00595959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right"/>
    </xf>
    <xf numFmtId="0" fontId="6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5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6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165" fontId="3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2" customWidth="1" min="2" max="2"/>
  </cols>
  <sheetData>
    <row r="1">
      <c r="B1" s="1" t="inlineStr">
        <is>
          <t>SMART FIT (SMFT3) — Fluxo de Dívida (módulo de valuation)</t>
        </is>
      </c>
    </row>
    <row r="2">
      <c r="B2" s="2" t="inlineStr"/>
    </row>
    <row r="3">
      <c r="B3" s="3" t="inlineStr">
        <is>
          <t>O QUE É</t>
        </is>
      </c>
    </row>
    <row r="4">
      <c r="B4" s="4" t="inlineStr">
        <is>
          <t>Cronograma de dívida bruta, despesa de juros e dívida líquida, montado como motor</t>
        </is>
      </c>
    </row>
    <row r="5">
      <c r="B5" s="4" t="inlineStr">
        <is>
          <t>independente para acoplar ao seu valuation. Trimestral (aberto até 4T27) e anual até 2037.</t>
        </is>
      </c>
    </row>
    <row r="6">
      <c r="B6" s="2" t="inlineStr"/>
    </row>
    <row r="7">
      <c r="B7" s="3" t="inlineStr">
        <is>
          <t>COMO ACOPLAR (aba 'Modelo_Dívida')</t>
        </is>
      </c>
    </row>
    <row r="8">
      <c r="B8" s="4" t="inlineStr">
        <is>
          <t>1. Amarelo = premissa/input (CDI, spreads, amortizações, captações, dividendos e o FCF livre).</t>
        </is>
      </c>
    </row>
    <row r="9">
      <c r="B9" s="4" t="inlineStr">
        <is>
          <t>2. Ligue a linha 'FCF livre pré-financiamento (LINK)' ao FCF do seu modelo → caixa e dívida</t>
        </is>
      </c>
    </row>
    <row r="10">
      <c r="B10" s="4" t="inlineStr">
        <is>
          <t xml:space="preserve">   líquida rodam sozinhos.</t>
        </is>
      </c>
    </row>
    <row r="11">
      <c r="B11" s="4" t="inlineStr">
        <is>
          <t>3. Referencie no seu valuation as linhas VERDES da seção de Interface.</t>
        </is>
      </c>
    </row>
    <row r="12">
      <c r="B12" s="4" t="inlineStr">
        <is>
          <t>4. Azul = dado real reportado (âncora), não recalcula.</t>
        </is>
      </c>
    </row>
    <row r="13">
      <c r="B13" s="2" t="inlineStr"/>
    </row>
    <row r="14">
      <c r="B14" s="3" t="inlineStr">
        <is>
          <t>PREMISSAS-CHAVE (reais, pesquisadas — 1T26)</t>
        </is>
      </c>
    </row>
    <row r="15">
      <c r="B15" s="4" t="inlineStr">
        <is>
          <t>• Dívida líquida R$ 4,2 bi (estável vs 4T25) | caixa+títulos R$ 1,7 bi →</t>
        </is>
      </c>
    </row>
    <row r="16">
      <c r="B16" s="4" t="inlineStr">
        <is>
          <t xml:space="preserve">  dívida bruta financeira ≈ R$ 5,9 bi. Alavancagem 1,1x EBITDA (vs 1,2x no 4T25).</t>
        </is>
      </c>
    </row>
    <row r="17">
      <c r="B17" s="4" t="inlineStr">
        <is>
          <t>• Custo médio da dívida: CDI + 2,09% a.a.</t>
        </is>
      </c>
    </row>
    <row r="18">
      <c r="B18" s="4" t="inlineStr">
        <is>
          <t>• Dívidas vincendas até fim de 2026: R$ 1,2 bi (caixa cobre 1,4x).</t>
        </is>
      </c>
    </row>
    <row r="19">
      <c r="B19" s="4" t="inlineStr">
        <is>
          <t>• Emissões recentes: 13ª (out/25, ≥R$ 1 bi, séries de 5/7/10 anos) e 14ª (mar/26, R$ 1,32 bi).</t>
        </is>
      </c>
    </row>
    <row r="20">
      <c r="B20" s="4" t="inlineStr">
        <is>
          <t>• EBITDA 1T26 R$ 672 mi; geração de caixa operacional R$ 635 mi (95% do EBITDA).</t>
        </is>
      </c>
    </row>
    <row r="21">
      <c r="B21" s="2" t="inlineStr"/>
    </row>
    <row r="22">
      <c r="B22" s="3" t="inlineStr">
        <is>
          <t>PREMISSAS ESTIMADAS (ajuste com o release/ITR)</t>
        </is>
      </c>
    </row>
    <row r="23">
      <c r="B23" s="4" t="inlineStr">
        <is>
          <t>• Dívida modelada como tranche única consolidada em rolagem (amort. = 0 no default).</t>
        </is>
      </c>
    </row>
    <row r="24">
      <c r="B24" s="4" t="inlineStr">
        <is>
          <t xml:space="preserve">  Preencha o cronograma real de amortização (ex.: R$ 1,2 bi em 2026) nas células amarelas.</t>
        </is>
      </c>
    </row>
    <row r="25">
      <c r="B25" s="4" t="inlineStr">
        <is>
          <t>• Dívida líquida financeira ampliada (c/ aquisições a pagar + antecipação de recebíveis)</t>
        </is>
      </c>
    </row>
    <row r="26">
      <c r="B26" s="4" t="inlineStr">
        <is>
          <t xml:space="preserve">  era R$ 5,6 bi no 1T26 — não incluída aqui (só dívida financeira).</t>
        </is>
      </c>
    </row>
    <row r="27">
      <c r="B27" s="4" t="inlineStr">
        <is>
          <t>• Não inclui passivo de arrendamento (IFRS 16), relevante p/ o setor.</t>
        </is>
      </c>
    </row>
    <row r="28">
      <c r="B28" s="2" t="inlineStr"/>
    </row>
    <row r="29">
      <c r="B29" s="3" t="inlineStr">
        <is>
          <t>FONTES</t>
        </is>
      </c>
    </row>
    <row r="30">
      <c r="B30" s="5" t="inlineStr">
        <is>
          <t>• Release/webinar 1T26 (Nord / Empiricus / XP / Seu Dinheiro); emissões 13ª e 14ª</t>
        </is>
      </c>
    </row>
    <row r="31">
      <c r="B31" s="5" t="inlineStr">
        <is>
          <t xml:space="preserve">  (Investidor10 / CNN Brasil / ADVFN); SmartFit RI — Debt Issuance.</t>
        </is>
      </c>
    </row>
    <row r="32">
      <c r="B32" s="2" t="inlineStr"/>
    </row>
    <row r="33">
      <c r="B33" s="5" t="inlineStr">
        <is>
          <t>Gerado por build_debt_model.py — reexecute p/ regenerar. R$ milhões salvo indicado.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</cols>
  <sheetData>
    <row r="1">
      <c r="A1" s="6" t="inlineStr">
        <is>
          <t>SMART FIT (SMFT3) — Fluxo de Dívida (módulo de valuation)</t>
        </is>
      </c>
    </row>
    <row r="2">
      <c r="A2" s="7" t="inlineStr">
        <is>
          <t>R$ milhões  •  Trimestral (aberto até 4T27) e anual até 2037  •  amarelo=input, azul=real, verde=interface</t>
        </is>
      </c>
    </row>
    <row r="4">
      <c r="A4" s="8" t="inlineStr">
        <is>
          <t>Período</t>
        </is>
      </c>
      <c r="B4" s="8" t="inlineStr">
        <is>
          <t>1T26
(Real)</t>
        </is>
      </c>
      <c r="C4" s="8" t="inlineStr">
        <is>
          <t>2T26E</t>
        </is>
      </c>
      <c r="D4" s="8" t="inlineStr">
        <is>
          <t>3T26E</t>
        </is>
      </c>
      <c r="E4" s="8" t="inlineStr">
        <is>
          <t>4T26E</t>
        </is>
      </c>
      <c r="F4" s="8" t="inlineStr">
        <is>
          <t>1T27E</t>
        </is>
      </c>
      <c r="G4" s="8" t="inlineStr">
        <is>
          <t>2T27E</t>
        </is>
      </c>
      <c r="H4" s="8" t="inlineStr">
        <is>
          <t>3T27E</t>
        </is>
      </c>
      <c r="I4" s="8" t="inlineStr">
        <is>
          <t>4T27E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8" t="inlineStr">
        <is>
          <t>2031E</t>
        </is>
      </c>
      <c r="N4" s="8" t="inlineStr">
        <is>
          <t>2032E</t>
        </is>
      </c>
      <c r="O4" s="8" t="inlineStr">
        <is>
          <t>2033E</t>
        </is>
      </c>
      <c r="P4" s="8" t="inlineStr">
        <is>
          <t>2034E</t>
        </is>
      </c>
      <c r="Q4" s="8" t="inlineStr">
        <is>
          <t>2035E</t>
        </is>
      </c>
      <c r="R4" s="8" t="inlineStr">
        <is>
          <t>2036E</t>
        </is>
      </c>
      <c r="S4" s="8" t="inlineStr">
        <is>
          <t>2037E</t>
        </is>
      </c>
    </row>
    <row r="5">
      <c r="A5" s="5" t="inlineStr">
        <is>
          <t>Fator do período (fração de ano)</t>
        </is>
      </c>
      <c r="B5" s="9" t="n"/>
      <c r="C5" s="9" t="n">
        <v>0.25</v>
      </c>
      <c r="D5" s="9" t="n">
        <v>0.25</v>
      </c>
      <c r="E5" s="9" t="n">
        <v>0.25</v>
      </c>
      <c r="F5" s="9" t="n">
        <v>0.25</v>
      </c>
      <c r="G5" s="9" t="n">
        <v>0.25</v>
      </c>
      <c r="H5" s="9" t="n">
        <v>0.25</v>
      </c>
      <c r="I5" s="9" t="n">
        <v>0.25</v>
      </c>
      <c r="J5" s="9" t="n">
        <v>1</v>
      </c>
      <c r="K5" s="9" t="n">
        <v>1</v>
      </c>
      <c r="L5" s="9" t="n">
        <v>1</v>
      </c>
      <c r="M5" s="9" t="n">
        <v>1</v>
      </c>
      <c r="N5" s="9" t="n">
        <v>1</v>
      </c>
      <c r="O5" s="9" t="n">
        <v>1</v>
      </c>
      <c r="P5" s="9" t="n">
        <v>1</v>
      </c>
      <c r="Q5" s="9" t="n">
        <v>1</v>
      </c>
      <c r="R5" s="9" t="n">
        <v>1</v>
      </c>
      <c r="S5" s="9" t="n">
        <v>1</v>
      </c>
    </row>
    <row r="7">
      <c r="A7" s="10" t="inlineStr">
        <is>
          <t>1. PREMISSAS (edite as células amarelas)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</row>
    <row r="8">
      <c r="A8" s="4" t="inlineStr">
        <is>
          <t>CDI (% a.a.)</t>
        </is>
      </c>
      <c r="B8" s="12" t="n"/>
      <c r="C8" s="13" t="n">
        <v>0.149</v>
      </c>
      <c r="D8" s="13" t="n">
        <v>0.1475</v>
      </c>
      <c r="E8" s="13" t="n">
        <v>0.145</v>
      </c>
      <c r="F8" s="13" t="n">
        <v>0.14</v>
      </c>
      <c r="G8" s="13" t="n">
        <v>0.135</v>
      </c>
      <c r="H8" s="13" t="n">
        <v>0.13</v>
      </c>
      <c r="I8" s="13" t="n">
        <v>0.125</v>
      </c>
      <c r="J8" s="13" t="n">
        <v>0.11</v>
      </c>
      <c r="K8" s="13" t="n">
        <v>0.105</v>
      </c>
      <c r="L8" s="13" t="n">
        <v>0.1</v>
      </c>
      <c r="M8" s="13" t="n">
        <v>0.0975</v>
      </c>
      <c r="N8" s="13" t="n">
        <v>0.095</v>
      </c>
      <c r="O8" s="13" t="n">
        <v>0.095</v>
      </c>
      <c r="P8" s="13" t="n">
        <v>0.095</v>
      </c>
      <c r="Q8" s="13" t="n">
        <v>0.095</v>
      </c>
      <c r="R8" s="13" t="n">
        <v>0.095</v>
      </c>
      <c r="S8" s="13" t="n">
        <v>0.095</v>
      </c>
    </row>
    <row r="9">
      <c r="A9" s="4" t="inlineStr">
        <is>
          <t>Spread Dívida financeira (a.a.)</t>
        </is>
      </c>
      <c r="B9" s="13" t="n">
        <v>0.0209</v>
      </c>
    </row>
    <row r="10">
      <c r="A10" s="4" t="inlineStr">
        <is>
          <t>Alíquota IR/CSLL</t>
        </is>
      </c>
      <c r="B10" s="13" t="n">
        <v>0.34</v>
      </c>
    </row>
    <row r="12">
      <c r="A12" s="10" t="inlineStr">
        <is>
          <t>2. DÍVIDA FINANCEIRA  (custo médio CDI + 2,09% • premissa: rolagem)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</row>
    <row r="13">
      <c r="A13" s="4" t="inlineStr">
        <is>
          <t>Saldo inicial</t>
        </is>
      </c>
      <c r="C13" s="14">
        <f>B16</f>
        <v/>
      </c>
      <c r="D13" s="14">
        <f>C16</f>
        <v/>
      </c>
      <c r="E13" s="14">
        <f>D16</f>
        <v/>
      </c>
      <c r="F13" s="14">
        <f>E16</f>
        <v/>
      </c>
      <c r="G13" s="14">
        <f>F16</f>
        <v/>
      </c>
      <c r="H13" s="14">
        <f>G16</f>
        <v/>
      </c>
      <c r="I13" s="14">
        <f>H16</f>
        <v/>
      </c>
      <c r="J13" s="14">
        <f>I16</f>
        <v/>
      </c>
      <c r="K13" s="14">
        <f>J16</f>
        <v/>
      </c>
      <c r="L13" s="14">
        <f>K16</f>
        <v/>
      </c>
      <c r="M13" s="14">
        <f>L16</f>
        <v/>
      </c>
      <c r="N13" s="14">
        <f>M16</f>
        <v/>
      </c>
      <c r="O13" s="14">
        <f>N16</f>
        <v/>
      </c>
      <c r="P13" s="14">
        <f>O16</f>
        <v/>
      </c>
      <c r="Q13" s="14">
        <f>P16</f>
        <v/>
      </c>
      <c r="R13" s="14">
        <f>Q16</f>
        <v/>
      </c>
      <c r="S13" s="14">
        <f>R16</f>
        <v/>
      </c>
    </row>
    <row r="14">
      <c r="A14" s="4" t="inlineStr">
        <is>
          <t>(+) Captações</t>
        </is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  <c r="N14" s="15" t="n">
        <v>0</v>
      </c>
      <c r="O14" s="15" t="n">
        <v>0</v>
      </c>
      <c r="P14" s="15" t="n">
        <v>0</v>
      </c>
      <c r="Q14" s="15" t="n">
        <v>0</v>
      </c>
      <c r="R14" s="15" t="n">
        <v>0</v>
      </c>
      <c r="S14" s="15" t="n">
        <v>0</v>
      </c>
    </row>
    <row r="15">
      <c r="A15" s="4" t="inlineStr">
        <is>
          <t>(–) Amortizações</t>
        </is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</row>
    <row r="16">
      <c r="A16" s="3">
        <f> Saldo final</f>
        <v/>
      </c>
      <c r="B16" s="16" t="n">
        <v>5900</v>
      </c>
      <c r="C16" s="17">
        <f>C13+C14-C15</f>
        <v/>
      </c>
      <c r="D16" s="17">
        <f>D13+D14-D15</f>
        <v/>
      </c>
      <c r="E16" s="17">
        <f>E13+E14-E15</f>
        <v/>
      </c>
      <c r="F16" s="17">
        <f>F13+F14-F15</f>
        <v/>
      </c>
      <c r="G16" s="17">
        <f>G13+G14-G15</f>
        <v/>
      </c>
      <c r="H16" s="17">
        <f>H13+H14-H15</f>
        <v/>
      </c>
      <c r="I16" s="17">
        <f>I13+I14-I15</f>
        <v/>
      </c>
      <c r="J16" s="17">
        <f>J13+J14-J15</f>
        <v/>
      </c>
      <c r="K16" s="17">
        <f>K13+K14-K15</f>
        <v/>
      </c>
      <c r="L16" s="17">
        <f>L13+L14-L15</f>
        <v/>
      </c>
      <c r="M16" s="17">
        <f>M13+M14-M15</f>
        <v/>
      </c>
      <c r="N16" s="17">
        <f>N13+N14-N15</f>
        <v/>
      </c>
      <c r="O16" s="17">
        <f>O13+O14-O15</f>
        <v/>
      </c>
      <c r="P16" s="17">
        <f>P13+P14-P15</f>
        <v/>
      </c>
      <c r="Q16" s="17">
        <f>Q13+Q14-Q15</f>
        <v/>
      </c>
      <c r="R16" s="17">
        <f>R13+R14-R15</f>
        <v/>
      </c>
      <c r="S16" s="17">
        <f>S13+S14-S15</f>
        <v/>
      </c>
    </row>
    <row r="17">
      <c r="A17" s="5" t="inlineStr">
        <is>
          <t>Saldo médio</t>
        </is>
      </c>
      <c r="C17" s="18">
        <f>(C13+C16)/2</f>
        <v/>
      </c>
      <c r="D17" s="18">
        <f>(D13+D16)/2</f>
        <v/>
      </c>
      <c r="E17" s="18">
        <f>(E13+E16)/2</f>
        <v/>
      </c>
      <c r="F17" s="18">
        <f>(F13+F16)/2</f>
        <v/>
      </c>
      <c r="G17" s="18">
        <f>(G13+G16)/2</f>
        <v/>
      </c>
      <c r="H17" s="18">
        <f>(H13+H16)/2</f>
        <v/>
      </c>
      <c r="I17" s="18">
        <f>(I13+I16)/2</f>
        <v/>
      </c>
      <c r="J17" s="18">
        <f>(J13+J16)/2</f>
        <v/>
      </c>
      <c r="K17" s="18">
        <f>(K13+K16)/2</f>
        <v/>
      </c>
      <c r="L17" s="18">
        <f>(L13+L16)/2</f>
        <v/>
      </c>
      <c r="M17" s="18">
        <f>(M13+M16)/2</f>
        <v/>
      </c>
      <c r="N17" s="18">
        <f>(N13+N16)/2</f>
        <v/>
      </c>
      <c r="O17" s="18">
        <f>(O13+O16)/2</f>
        <v/>
      </c>
      <c r="P17" s="18">
        <f>(P13+P16)/2</f>
        <v/>
      </c>
      <c r="Q17" s="18">
        <f>(Q13+Q16)/2</f>
        <v/>
      </c>
      <c r="R17" s="18">
        <f>(R13+R16)/2</f>
        <v/>
      </c>
      <c r="S17" s="18">
        <f>(S13+S16)/2</f>
        <v/>
      </c>
    </row>
    <row r="18">
      <c r="A18" s="4" t="inlineStr">
        <is>
          <t>Despesa de juros</t>
        </is>
      </c>
      <c r="C18" s="14">
        <f>C17*(C8+$B$9)*C5</f>
        <v/>
      </c>
      <c r="D18" s="14">
        <f>D17*(D8+$B$9)*D5</f>
        <v/>
      </c>
      <c r="E18" s="14">
        <f>E17*(E8+$B$9)*E5</f>
        <v/>
      </c>
      <c r="F18" s="14">
        <f>F17*(F8+$B$9)*F5</f>
        <v/>
      </c>
      <c r="G18" s="14">
        <f>G17*(G8+$B$9)*G5</f>
        <v/>
      </c>
      <c r="H18" s="14">
        <f>H17*(H8+$B$9)*H5</f>
        <v/>
      </c>
      <c r="I18" s="14">
        <f>I17*(I8+$B$9)*I5</f>
        <v/>
      </c>
      <c r="J18" s="14">
        <f>J17*(J8+$B$9)*J5</f>
        <v/>
      </c>
      <c r="K18" s="14">
        <f>K17*(K8+$B$9)*K5</f>
        <v/>
      </c>
      <c r="L18" s="14">
        <f>L17*(L8+$B$9)*L5</f>
        <v/>
      </c>
      <c r="M18" s="14">
        <f>M17*(M8+$B$9)*M5</f>
        <v/>
      </c>
      <c r="N18" s="14">
        <f>N17*(N8+$B$9)*N5</f>
        <v/>
      </c>
      <c r="O18" s="14">
        <f>O17*(O8+$B$9)*O5</f>
        <v/>
      </c>
      <c r="P18" s="14">
        <f>P17*(P8+$B$9)*P5</f>
        <v/>
      </c>
      <c r="Q18" s="14">
        <f>Q17*(Q8+$B$9)*Q5</f>
        <v/>
      </c>
      <c r="R18" s="14">
        <f>R17*(R8+$B$9)*R5</f>
        <v/>
      </c>
      <c r="S18" s="14">
        <f>S17*(S8+$B$9)*S5</f>
        <v/>
      </c>
    </row>
    <row r="20">
      <c r="A20" s="10" t="inlineStr">
        <is>
          <t>3. DÍVIDA CONSOLIDADA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</row>
    <row r="21">
      <c r="A21" s="3" t="inlineStr">
        <is>
          <t>Dívida bruta (fim do período)</t>
        </is>
      </c>
      <c r="B21" s="16">
        <f>B16</f>
        <v/>
      </c>
      <c r="C21" s="17">
        <f>C16</f>
        <v/>
      </c>
      <c r="D21" s="17">
        <f>D16</f>
        <v/>
      </c>
      <c r="E21" s="17">
        <f>E16</f>
        <v/>
      </c>
      <c r="F21" s="17">
        <f>F16</f>
        <v/>
      </c>
      <c r="G21" s="17">
        <f>G16</f>
        <v/>
      </c>
      <c r="H21" s="17">
        <f>H16</f>
        <v/>
      </c>
      <c r="I21" s="17">
        <f>I16</f>
        <v/>
      </c>
      <c r="J21" s="17">
        <f>J16</f>
        <v/>
      </c>
      <c r="K21" s="17">
        <f>K16</f>
        <v/>
      </c>
      <c r="L21" s="17">
        <f>L16</f>
        <v/>
      </c>
      <c r="M21" s="17">
        <f>M16</f>
        <v/>
      </c>
      <c r="N21" s="17">
        <f>N16</f>
        <v/>
      </c>
      <c r="O21" s="17">
        <f>O16</f>
        <v/>
      </c>
      <c r="P21" s="17">
        <f>P16</f>
        <v/>
      </c>
      <c r="Q21" s="17">
        <f>Q16</f>
        <v/>
      </c>
      <c r="R21" s="17">
        <f>R16</f>
        <v/>
      </c>
      <c r="S21" s="17">
        <f>S16</f>
        <v/>
      </c>
    </row>
    <row r="22">
      <c r="A22" s="3" t="inlineStr">
        <is>
          <t>Despesa de juros total (dívida)</t>
        </is>
      </c>
      <c r="C22" s="17">
        <f>C18</f>
        <v/>
      </c>
      <c r="D22" s="17">
        <f>D18</f>
        <v/>
      </c>
      <c r="E22" s="17">
        <f>E18</f>
        <v/>
      </c>
      <c r="F22" s="17">
        <f>F18</f>
        <v/>
      </c>
      <c r="G22" s="17">
        <f>G18</f>
        <v/>
      </c>
      <c r="H22" s="17">
        <f>H18</f>
        <v/>
      </c>
      <c r="I22" s="17">
        <f>I18</f>
        <v/>
      </c>
      <c r="J22" s="17">
        <f>J18</f>
        <v/>
      </c>
      <c r="K22" s="17">
        <f>K18</f>
        <v/>
      </c>
      <c r="L22" s="17">
        <f>L18</f>
        <v/>
      </c>
      <c r="M22" s="17">
        <f>M18</f>
        <v/>
      </c>
      <c r="N22" s="17">
        <f>N18</f>
        <v/>
      </c>
      <c r="O22" s="17">
        <f>O18</f>
        <v/>
      </c>
      <c r="P22" s="17">
        <f>P18</f>
        <v/>
      </c>
      <c r="Q22" s="17">
        <f>Q18</f>
        <v/>
      </c>
      <c r="R22" s="17">
        <f>R18</f>
        <v/>
      </c>
      <c r="S22" s="17">
        <f>S18</f>
        <v/>
      </c>
    </row>
    <row r="24">
      <c r="A24" s="10" t="inlineStr">
        <is>
          <t>4. CAIXA E DÍVIDA LÍQUIDA</t>
        </is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</row>
    <row r="25">
      <c r="A25" s="4" t="inlineStr">
        <is>
          <t>Caixa inicial</t>
        </is>
      </c>
      <c r="C25" s="14">
        <f>B31</f>
        <v/>
      </c>
      <c r="D25" s="14">
        <f>C31</f>
        <v/>
      </c>
      <c r="E25" s="14">
        <f>D31</f>
        <v/>
      </c>
      <c r="F25" s="14">
        <f>E31</f>
        <v/>
      </c>
      <c r="G25" s="14">
        <f>F31</f>
        <v/>
      </c>
      <c r="H25" s="14">
        <f>G31</f>
        <v/>
      </c>
      <c r="I25" s="14">
        <f>H31</f>
        <v/>
      </c>
      <c r="J25" s="14">
        <f>I31</f>
        <v/>
      </c>
      <c r="K25" s="14">
        <f>J31</f>
        <v/>
      </c>
      <c r="L25" s="14">
        <f>K31</f>
        <v/>
      </c>
      <c r="M25" s="14">
        <f>L31</f>
        <v/>
      </c>
      <c r="N25" s="14">
        <f>M31</f>
        <v/>
      </c>
      <c r="O25" s="14">
        <f>N31</f>
        <v/>
      </c>
      <c r="P25" s="14">
        <f>O31</f>
        <v/>
      </c>
      <c r="Q25" s="14">
        <f>P31</f>
        <v/>
      </c>
      <c r="R25" s="14">
        <f>Q31</f>
        <v/>
      </c>
      <c r="S25" s="14">
        <f>R31</f>
        <v/>
      </c>
    </row>
    <row r="26">
      <c r="A26" s="4" t="inlineStr">
        <is>
          <t>(+) FCF livre pré-financiamento (LINK do seu modelo)</t>
        </is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</v>
      </c>
      <c r="Q26" s="15" t="n">
        <v>0</v>
      </c>
      <c r="R26" s="15" t="n">
        <v>0</v>
      </c>
      <c r="S26" s="15" t="n">
        <v>0</v>
      </c>
    </row>
    <row r="27">
      <c r="A27" s="4" t="inlineStr">
        <is>
          <t>(–) Dividendos / JCP (input)</t>
        </is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0</v>
      </c>
      <c r="P27" s="15" t="n">
        <v>0</v>
      </c>
      <c r="Q27" s="15" t="n">
        <v>0</v>
      </c>
      <c r="R27" s="15" t="n">
        <v>0</v>
      </c>
      <c r="S27" s="15" t="n">
        <v>0</v>
      </c>
    </row>
    <row r="28">
      <c r="A28" s="5" t="inlineStr">
        <is>
          <t>(–) Juros pagos</t>
        </is>
      </c>
      <c r="C28" s="18">
        <f>C22</f>
        <v/>
      </c>
      <c r="D28" s="18">
        <f>D22</f>
        <v/>
      </c>
      <c r="E28" s="18">
        <f>E22</f>
        <v/>
      </c>
      <c r="F28" s="18">
        <f>F22</f>
        <v/>
      </c>
      <c r="G28" s="18">
        <f>G22</f>
        <v/>
      </c>
      <c r="H28" s="18">
        <f>H22</f>
        <v/>
      </c>
      <c r="I28" s="18">
        <f>I22</f>
        <v/>
      </c>
      <c r="J28" s="18">
        <f>J22</f>
        <v/>
      </c>
      <c r="K28" s="18">
        <f>K22</f>
        <v/>
      </c>
      <c r="L28" s="18">
        <f>L22</f>
        <v/>
      </c>
      <c r="M28" s="18">
        <f>M22</f>
        <v/>
      </c>
      <c r="N28" s="18">
        <f>N22</f>
        <v/>
      </c>
      <c r="O28" s="18">
        <f>O22</f>
        <v/>
      </c>
      <c r="P28" s="18">
        <f>P22</f>
        <v/>
      </c>
      <c r="Q28" s="18">
        <f>Q22</f>
        <v/>
      </c>
      <c r="R28" s="18">
        <f>R22</f>
        <v/>
      </c>
      <c r="S28" s="18">
        <f>S22</f>
        <v/>
      </c>
    </row>
    <row r="29">
      <c r="A29" s="5" t="inlineStr">
        <is>
          <t>(–) Amortizações totais</t>
        </is>
      </c>
      <c r="C29" s="18">
        <f>C15</f>
        <v/>
      </c>
      <c r="D29" s="18">
        <f>D15</f>
        <v/>
      </c>
      <c r="E29" s="18">
        <f>E15</f>
        <v/>
      </c>
      <c r="F29" s="18">
        <f>F15</f>
        <v/>
      </c>
      <c r="G29" s="18">
        <f>G15</f>
        <v/>
      </c>
      <c r="H29" s="18">
        <f>H15</f>
        <v/>
      </c>
      <c r="I29" s="18">
        <f>I15</f>
        <v/>
      </c>
      <c r="J29" s="18">
        <f>J15</f>
        <v/>
      </c>
      <c r="K29" s="18">
        <f>K15</f>
        <v/>
      </c>
      <c r="L29" s="18">
        <f>L15</f>
        <v/>
      </c>
      <c r="M29" s="18">
        <f>M15</f>
        <v/>
      </c>
      <c r="N29" s="18">
        <f>N15</f>
        <v/>
      </c>
      <c r="O29" s="18">
        <f>O15</f>
        <v/>
      </c>
      <c r="P29" s="18">
        <f>P15</f>
        <v/>
      </c>
      <c r="Q29" s="18">
        <f>Q15</f>
        <v/>
      </c>
      <c r="R29" s="18">
        <f>R15</f>
        <v/>
      </c>
      <c r="S29" s="18">
        <f>S15</f>
        <v/>
      </c>
    </row>
    <row r="30">
      <c r="A30" s="5" t="inlineStr">
        <is>
          <t>(+) Captações totais</t>
        </is>
      </c>
      <c r="C30" s="18">
        <f>C14</f>
        <v/>
      </c>
      <c r="D30" s="18">
        <f>D14</f>
        <v/>
      </c>
      <c r="E30" s="18">
        <f>E14</f>
        <v/>
      </c>
      <c r="F30" s="18">
        <f>F14</f>
        <v/>
      </c>
      <c r="G30" s="18">
        <f>G14</f>
        <v/>
      </c>
      <c r="H30" s="18">
        <f>H14</f>
        <v/>
      </c>
      <c r="I30" s="18">
        <f>I14</f>
        <v/>
      </c>
      <c r="J30" s="18">
        <f>J14</f>
        <v/>
      </c>
      <c r="K30" s="18">
        <f>K14</f>
        <v/>
      </c>
      <c r="L30" s="18">
        <f>L14</f>
        <v/>
      </c>
      <c r="M30" s="18">
        <f>M14</f>
        <v/>
      </c>
      <c r="N30" s="18">
        <f>N14</f>
        <v/>
      </c>
      <c r="O30" s="18">
        <f>O14</f>
        <v/>
      </c>
      <c r="P30" s="18">
        <f>P14</f>
        <v/>
      </c>
      <c r="Q30" s="18">
        <f>Q14</f>
        <v/>
      </c>
      <c r="R30" s="18">
        <f>R14</f>
        <v/>
      </c>
      <c r="S30" s="18">
        <f>S14</f>
        <v/>
      </c>
    </row>
    <row r="31">
      <c r="A31" s="3">
        <f> Caixa e equivalentes (fim)</f>
        <v/>
      </c>
      <c r="B31" s="16" t="n">
        <v>1700</v>
      </c>
      <c r="C31" s="17">
        <f>C25+C26-C27-C28-C29+C30</f>
        <v/>
      </c>
      <c r="D31" s="17">
        <f>D25+D26-D27-D28-D29+D30</f>
        <v/>
      </c>
      <c r="E31" s="17">
        <f>E25+E26-E27-E28-E29+E30</f>
        <v/>
      </c>
      <c r="F31" s="17">
        <f>F25+F26-F27-F28-F29+F30</f>
        <v/>
      </c>
      <c r="G31" s="17">
        <f>G25+G26-G27-G28-G29+G30</f>
        <v/>
      </c>
      <c r="H31" s="17">
        <f>H25+H26-H27-H28-H29+H30</f>
        <v/>
      </c>
      <c r="I31" s="17">
        <f>I25+I26-I27-I28-I29+I30</f>
        <v/>
      </c>
      <c r="J31" s="17">
        <f>J25+J26-J27-J28-J29+J30</f>
        <v/>
      </c>
      <c r="K31" s="17">
        <f>K25+K26-K27-K28-K29+K30</f>
        <v/>
      </c>
      <c r="L31" s="17">
        <f>L25+L26-L27-L28-L29+L30</f>
        <v/>
      </c>
      <c r="M31" s="17">
        <f>M25+M26-M27-M28-M29+M30</f>
        <v/>
      </c>
      <c r="N31" s="17">
        <f>N25+N26-N27-N28-N29+N30</f>
        <v/>
      </c>
      <c r="O31" s="17">
        <f>O25+O26-O27-O28-O29+O30</f>
        <v/>
      </c>
      <c r="P31" s="17">
        <f>P25+P26-P27-P28-P29+P30</f>
        <v/>
      </c>
      <c r="Q31" s="17">
        <f>Q25+Q26-Q27-Q28-Q29+Q30</f>
        <v/>
      </c>
      <c r="R31" s="17">
        <f>R25+R26-R27-R28-R29+R30</f>
        <v/>
      </c>
      <c r="S31" s="17">
        <f>S25+S26-S27-S28-S29+S30</f>
        <v/>
      </c>
    </row>
    <row r="32">
      <c r="A32" s="3" t="inlineStr">
        <is>
          <t>Dívida líquida</t>
        </is>
      </c>
      <c r="B32" s="16">
        <f>B21-B31</f>
        <v/>
      </c>
      <c r="C32" s="17">
        <f>C21-C31</f>
        <v/>
      </c>
      <c r="D32" s="17">
        <f>D21-D31</f>
        <v/>
      </c>
      <c r="E32" s="17">
        <f>E21-E31</f>
        <v/>
      </c>
      <c r="F32" s="17">
        <f>F21-F31</f>
        <v/>
      </c>
      <c r="G32" s="17">
        <f>G21-G31</f>
        <v/>
      </c>
      <c r="H32" s="17">
        <f>H21-H31</f>
        <v/>
      </c>
      <c r="I32" s="17">
        <f>I21-I31</f>
        <v/>
      </c>
      <c r="J32" s="17">
        <f>J21-J31</f>
        <v/>
      </c>
      <c r="K32" s="17">
        <f>K21-K31</f>
        <v/>
      </c>
      <c r="L32" s="17">
        <f>L21-L31</f>
        <v/>
      </c>
      <c r="M32" s="17">
        <f>M21-M31</f>
        <v/>
      </c>
      <c r="N32" s="17">
        <f>N21-N31</f>
        <v/>
      </c>
      <c r="O32" s="17">
        <f>O21-O31</f>
        <v/>
      </c>
      <c r="P32" s="17">
        <f>P21-P31</f>
        <v/>
      </c>
      <c r="Q32" s="17">
        <f>Q21-Q31</f>
        <v/>
      </c>
      <c r="R32" s="17">
        <f>R21-R31</f>
        <v/>
      </c>
      <c r="S32" s="17">
        <f>S21-S31</f>
        <v/>
      </c>
    </row>
    <row r="34">
      <c r="A34" s="10" t="inlineStr">
        <is>
          <t>5. INTERFACE P/ VALUATION  (referencie estas linhas no seu modelo)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</row>
    <row r="35">
      <c r="A35" s="3" t="inlineStr">
        <is>
          <t>Dívida bruta (fim)</t>
        </is>
      </c>
      <c r="B35" s="19">
        <f>B21</f>
        <v/>
      </c>
      <c r="C35" s="19">
        <f>C21</f>
        <v/>
      </c>
      <c r="D35" s="19">
        <f>D21</f>
        <v/>
      </c>
      <c r="E35" s="19">
        <f>E21</f>
        <v/>
      </c>
      <c r="F35" s="19">
        <f>F21</f>
        <v/>
      </c>
      <c r="G35" s="19">
        <f>G21</f>
        <v/>
      </c>
      <c r="H35" s="19">
        <f>H21</f>
        <v/>
      </c>
      <c r="I35" s="19">
        <f>I21</f>
        <v/>
      </c>
      <c r="J35" s="19">
        <f>J21</f>
        <v/>
      </c>
      <c r="K35" s="19">
        <f>K21</f>
        <v/>
      </c>
      <c r="L35" s="19">
        <f>L21</f>
        <v/>
      </c>
      <c r="M35" s="19">
        <f>M21</f>
        <v/>
      </c>
      <c r="N35" s="19">
        <f>N21</f>
        <v/>
      </c>
      <c r="O35" s="19">
        <f>O21</f>
        <v/>
      </c>
      <c r="P35" s="19">
        <f>P21</f>
        <v/>
      </c>
      <c r="Q35" s="19">
        <f>Q21</f>
        <v/>
      </c>
      <c r="R35" s="19">
        <f>R21</f>
        <v/>
      </c>
      <c r="S35" s="19">
        <f>S21</f>
        <v/>
      </c>
    </row>
    <row r="36">
      <c r="A36" s="3" t="inlineStr">
        <is>
          <t>Caixa e equivalentes (fim)</t>
        </is>
      </c>
      <c r="B36" s="19">
        <f>B31</f>
        <v/>
      </c>
      <c r="C36" s="19">
        <f>C31</f>
        <v/>
      </c>
      <c r="D36" s="19">
        <f>D31</f>
        <v/>
      </c>
      <c r="E36" s="19">
        <f>E31</f>
        <v/>
      </c>
      <c r="F36" s="19">
        <f>F31</f>
        <v/>
      </c>
      <c r="G36" s="19">
        <f>G31</f>
        <v/>
      </c>
      <c r="H36" s="19">
        <f>H31</f>
        <v/>
      </c>
      <c r="I36" s="19">
        <f>I31</f>
        <v/>
      </c>
      <c r="J36" s="19">
        <f>J31</f>
        <v/>
      </c>
      <c r="K36" s="19">
        <f>K31</f>
        <v/>
      </c>
      <c r="L36" s="19">
        <f>L31</f>
        <v/>
      </c>
      <c r="M36" s="19">
        <f>M31</f>
        <v/>
      </c>
      <c r="N36" s="19">
        <f>N31</f>
        <v/>
      </c>
      <c r="O36" s="19">
        <f>O31</f>
        <v/>
      </c>
      <c r="P36" s="19">
        <f>P31</f>
        <v/>
      </c>
      <c r="Q36" s="19">
        <f>Q31</f>
        <v/>
      </c>
      <c r="R36" s="19">
        <f>R31</f>
        <v/>
      </c>
      <c r="S36" s="19">
        <f>S31</f>
        <v/>
      </c>
    </row>
    <row r="37">
      <c r="A37" s="3" t="inlineStr">
        <is>
          <t>Dívida líquida (fim)</t>
        </is>
      </c>
      <c r="B37" s="19">
        <f>B32</f>
        <v/>
      </c>
      <c r="C37" s="19">
        <f>C32</f>
        <v/>
      </c>
      <c r="D37" s="19">
        <f>D32</f>
        <v/>
      </c>
      <c r="E37" s="19">
        <f>E32</f>
        <v/>
      </c>
      <c r="F37" s="19">
        <f>F32</f>
        <v/>
      </c>
      <c r="G37" s="19">
        <f>G32</f>
        <v/>
      </c>
      <c r="H37" s="19">
        <f>H32</f>
        <v/>
      </c>
      <c r="I37" s="19">
        <f>I32</f>
        <v/>
      </c>
      <c r="J37" s="19">
        <f>J32</f>
        <v/>
      </c>
      <c r="K37" s="19">
        <f>K32</f>
        <v/>
      </c>
      <c r="L37" s="19">
        <f>L32</f>
        <v/>
      </c>
      <c r="M37" s="19">
        <f>M32</f>
        <v/>
      </c>
      <c r="N37" s="19">
        <f>N32</f>
        <v/>
      </c>
      <c r="O37" s="19">
        <f>O32</f>
        <v/>
      </c>
      <c r="P37" s="19">
        <f>P32</f>
        <v/>
      </c>
      <c r="Q37" s="19">
        <f>Q32</f>
        <v/>
      </c>
      <c r="R37" s="19">
        <f>R32</f>
        <v/>
      </c>
      <c r="S37" s="19">
        <f>S32</f>
        <v/>
      </c>
    </row>
    <row r="38">
      <c r="A38" s="4" t="inlineStr">
        <is>
          <t>Amortizações (saída — financiamento)</t>
        </is>
      </c>
      <c r="C38" s="20">
        <f>C15</f>
        <v/>
      </c>
      <c r="D38" s="20">
        <f>D15</f>
        <v/>
      </c>
      <c r="E38" s="20">
        <f>E15</f>
        <v/>
      </c>
      <c r="F38" s="20">
        <f>F15</f>
        <v/>
      </c>
      <c r="G38" s="20">
        <f>G15</f>
        <v/>
      </c>
      <c r="H38" s="20">
        <f>H15</f>
        <v/>
      </c>
      <c r="I38" s="20">
        <f>I15</f>
        <v/>
      </c>
      <c r="J38" s="20">
        <f>J15</f>
        <v/>
      </c>
      <c r="K38" s="20">
        <f>K15</f>
        <v/>
      </c>
      <c r="L38" s="20">
        <f>L15</f>
        <v/>
      </c>
      <c r="M38" s="20">
        <f>M15</f>
        <v/>
      </c>
      <c r="N38" s="20">
        <f>N15</f>
        <v/>
      </c>
      <c r="O38" s="20">
        <f>O15</f>
        <v/>
      </c>
      <c r="P38" s="20">
        <f>P15</f>
        <v/>
      </c>
      <c r="Q38" s="20">
        <f>Q15</f>
        <v/>
      </c>
      <c r="R38" s="20">
        <f>R15</f>
        <v/>
      </c>
      <c r="S38" s="20">
        <f>S15</f>
        <v/>
      </c>
    </row>
    <row r="39">
      <c r="A39" s="4" t="inlineStr">
        <is>
          <t>Captações (entrada — financiamento)</t>
        </is>
      </c>
      <c r="C39" s="20">
        <f>C14</f>
        <v/>
      </c>
      <c r="D39" s="20">
        <f>D14</f>
        <v/>
      </c>
      <c r="E39" s="20">
        <f>E14</f>
        <v/>
      </c>
      <c r="F39" s="20">
        <f>F14</f>
        <v/>
      </c>
      <c r="G39" s="20">
        <f>G14</f>
        <v/>
      </c>
      <c r="H39" s="20">
        <f>H14</f>
        <v/>
      </c>
      <c r="I39" s="20">
        <f>I14</f>
        <v/>
      </c>
      <c r="J39" s="20">
        <f>J14</f>
        <v/>
      </c>
      <c r="K39" s="20">
        <f>K14</f>
        <v/>
      </c>
      <c r="L39" s="20">
        <f>L14</f>
        <v/>
      </c>
      <c r="M39" s="20">
        <f>M14</f>
        <v/>
      </c>
      <c r="N39" s="20">
        <f>N14</f>
        <v/>
      </c>
      <c r="O39" s="20">
        <f>O14</f>
        <v/>
      </c>
      <c r="P39" s="20">
        <f>P14</f>
        <v/>
      </c>
      <c r="Q39" s="20">
        <f>Q14</f>
        <v/>
      </c>
      <c r="R39" s="20">
        <f>R14</f>
        <v/>
      </c>
      <c r="S39" s="20">
        <f>S14</f>
        <v/>
      </c>
    </row>
    <row r="40">
      <c r="A40" s="3" t="inlineStr">
        <is>
          <t>Despesa de juros (P&amp;L, competência)</t>
        </is>
      </c>
      <c r="C40" s="19">
        <f>C22</f>
        <v/>
      </c>
      <c r="D40" s="19">
        <f>D22</f>
        <v/>
      </c>
      <c r="E40" s="19">
        <f>E22</f>
        <v/>
      </c>
      <c r="F40" s="19">
        <f>F22</f>
        <v/>
      </c>
      <c r="G40" s="19">
        <f>G22</f>
        <v/>
      </c>
      <c r="H40" s="19">
        <f>H22</f>
        <v/>
      </c>
      <c r="I40" s="19">
        <f>I22</f>
        <v/>
      </c>
      <c r="J40" s="19">
        <f>J22</f>
        <v/>
      </c>
      <c r="K40" s="19">
        <f>K22</f>
        <v/>
      </c>
      <c r="L40" s="19">
        <f>L22</f>
        <v/>
      </c>
      <c r="M40" s="19">
        <f>M22</f>
        <v/>
      </c>
      <c r="N40" s="19">
        <f>N22</f>
        <v/>
      </c>
      <c r="O40" s="19">
        <f>O22</f>
        <v/>
      </c>
      <c r="P40" s="19">
        <f>P22</f>
        <v/>
      </c>
      <c r="Q40" s="19">
        <f>Q22</f>
        <v/>
      </c>
      <c r="R40" s="19">
        <f>R22</f>
        <v/>
      </c>
      <c r="S40" s="19">
        <f>S22</f>
        <v/>
      </c>
    </row>
    <row r="41">
      <c r="A41" s="4" t="inlineStr">
        <is>
          <t>Juros após IR</t>
        </is>
      </c>
      <c r="C41" s="20">
        <f>C22*(1-$B$10)</f>
        <v/>
      </c>
      <c r="D41" s="20">
        <f>D22*(1-$B$10)</f>
        <v/>
      </c>
      <c r="E41" s="20">
        <f>E22*(1-$B$10)</f>
        <v/>
      </c>
      <c r="F41" s="20">
        <f>F22*(1-$B$10)</f>
        <v/>
      </c>
      <c r="G41" s="20">
        <f>G22*(1-$B$10)</f>
        <v/>
      </c>
      <c r="H41" s="20">
        <f>H22*(1-$B$10)</f>
        <v/>
      </c>
      <c r="I41" s="20">
        <f>I22*(1-$B$10)</f>
        <v/>
      </c>
      <c r="J41" s="20">
        <f>J22*(1-$B$10)</f>
        <v/>
      </c>
      <c r="K41" s="20">
        <f>K22*(1-$B$10)</f>
        <v/>
      </c>
      <c r="L41" s="20">
        <f>L22*(1-$B$10)</f>
        <v/>
      </c>
      <c r="M41" s="20">
        <f>M22*(1-$B$10)</f>
        <v/>
      </c>
      <c r="N41" s="20">
        <f>N22*(1-$B$10)</f>
        <v/>
      </c>
      <c r="O41" s="20">
        <f>O22*(1-$B$10)</f>
        <v/>
      </c>
      <c r="P41" s="20">
        <f>P22*(1-$B$10)</f>
        <v/>
      </c>
      <c r="Q41" s="20">
        <f>Q22*(1-$B$10)</f>
        <v/>
      </c>
      <c r="R41" s="20">
        <f>R22*(1-$B$10)</f>
        <v/>
      </c>
      <c r="S41" s="20">
        <f>S22*(1-$B$10)</f>
        <v/>
      </c>
    </row>
    <row r="42">
      <c r="A42" s="4" t="inlineStr">
        <is>
          <t>Economia fiscal dos juros (tax shield)</t>
        </is>
      </c>
      <c r="C42" s="20">
        <f>C22*$B$10</f>
        <v/>
      </c>
      <c r="D42" s="20">
        <f>D22*$B$10</f>
        <v/>
      </c>
      <c r="E42" s="20">
        <f>E22*$B$10</f>
        <v/>
      </c>
      <c r="F42" s="20">
        <f>F22*$B$10</f>
        <v/>
      </c>
      <c r="G42" s="20">
        <f>G22*$B$10</f>
        <v/>
      </c>
      <c r="H42" s="20">
        <f>H22*$B$10</f>
        <v/>
      </c>
      <c r="I42" s="20">
        <f>I22*$B$10</f>
        <v/>
      </c>
      <c r="J42" s="20">
        <f>J22*$B$10</f>
        <v/>
      </c>
      <c r="K42" s="20">
        <f>K22*$B$10</f>
        <v/>
      </c>
      <c r="L42" s="20">
        <f>L22*$B$10</f>
        <v/>
      </c>
      <c r="M42" s="20">
        <f>M22*$B$10</f>
        <v/>
      </c>
      <c r="N42" s="20">
        <f>N22*$B$10</f>
        <v/>
      </c>
      <c r="O42" s="20">
        <f>O22*$B$10</f>
        <v/>
      </c>
      <c r="P42" s="20">
        <f>P22*$B$10</f>
        <v/>
      </c>
      <c r="Q42" s="20">
        <f>Q22*$B$10</f>
        <v/>
      </c>
      <c r="R42" s="20">
        <f>R22*$B$10</f>
        <v/>
      </c>
      <c r="S42" s="20">
        <f>S22*$B$10</f>
        <v/>
      </c>
    </row>
    <row r="43">
      <c r="A43" s="4" t="inlineStr">
        <is>
          <t>EBITDA LTM (input opcional — link do seu modelo)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</row>
    <row r="44">
      <c r="A44" s="4" t="inlineStr">
        <is>
          <t>Dívida líquida / EBITDA (x)</t>
        </is>
      </c>
      <c r="B44" s="21">
        <f>IFERROR(B37/B43,"")</f>
        <v/>
      </c>
      <c r="C44" s="21">
        <f>IFERROR(C37/C43,"")</f>
        <v/>
      </c>
      <c r="D44" s="21">
        <f>IFERROR(D37/D43,"")</f>
        <v/>
      </c>
      <c r="E44" s="21">
        <f>IFERROR(E37/E43,"")</f>
        <v/>
      </c>
      <c r="F44" s="21">
        <f>IFERROR(F37/F43,"")</f>
        <v/>
      </c>
      <c r="G44" s="21">
        <f>IFERROR(G37/G43,"")</f>
        <v/>
      </c>
      <c r="H44" s="21">
        <f>IFERROR(H37/H43,"")</f>
        <v/>
      </c>
      <c r="I44" s="21">
        <f>IFERROR(I37/I43,"")</f>
        <v/>
      </c>
      <c r="J44" s="21">
        <f>IFERROR(J37/J43,"")</f>
        <v/>
      </c>
      <c r="K44" s="21">
        <f>IFERROR(K37/K43,"")</f>
        <v/>
      </c>
      <c r="L44" s="21">
        <f>IFERROR(L37/L43,"")</f>
        <v/>
      </c>
      <c r="M44" s="21">
        <f>IFERROR(M37/M43,"")</f>
        <v/>
      </c>
      <c r="N44" s="21">
        <f>IFERROR(N37/N43,"")</f>
        <v/>
      </c>
      <c r="O44" s="21">
        <f>IFERROR(O37/O43,"")</f>
        <v/>
      </c>
      <c r="P44" s="21">
        <f>IFERROR(P37/P43,"")</f>
        <v/>
      </c>
      <c r="Q44" s="21">
        <f>IFERROR(Q37/Q43,"")</f>
        <v/>
      </c>
      <c r="R44" s="21">
        <f>IFERROR(R37/R43,"")</f>
        <v/>
      </c>
      <c r="S44" s="21">
        <f>IFERROR(S37/S43,"")</f>
        <v/>
      </c>
    </row>
    <row r="46">
      <c r="A46" s="5" t="inlineStr">
        <is>
          <t>Nota: juros em regime de competência (proxy p/ caixa). Ligue a linha de FCF livre ao seu modelo para o caixa e a dívida líquida rodarem sozinhos. Preencha as amortizações/captações reais nas células amarelas.</t>
        </is>
      </c>
    </row>
  </sheetData>
  <mergeCells count="1">
    <mergeCell ref="A46:S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2026-07-15T17:36:41Z</dcterms:created>
  <dcterms:modified xsi:type="dcterms:W3CDTF">2026-07-15T17:36:41Z</dcterms:modified>
</cp:coreProperties>
</file>